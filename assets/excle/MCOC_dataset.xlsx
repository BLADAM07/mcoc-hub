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mmunity" sheetId="1" r:id="rId5"/>
    <sheet state="visible" name="Story champions" sheetId="2" r:id="rId6"/>
    <sheet state="visible" name="Upgrade Plan" sheetId="3" r:id="rId7"/>
    <sheet state="visible" name="Champion Plane" sheetId="4" r:id="rId8"/>
    <sheet state="hidden" name="Sheet8" sheetId="5" r:id="rId9"/>
    <sheet state="hidden" name="Total champion with class" sheetId="6" r:id="rId10"/>
    <sheet state="hidden" name="Sheet6" sheetId="7" r:id="rId11"/>
    <sheet state="hidden" name="Main" sheetId="8" r:id="rId12"/>
  </sheets>
  <definedNames>
    <definedName hidden="1" localSheetId="2" name="_xlnm._FilterDatabase">'Upgrade Plan'!$A$1:$H$201</definedName>
  </definedNames>
  <calcPr/>
</workbook>
</file>

<file path=xl/sharedStrings.xml><?xml version="1.0" encoding="utf-8"?>
<sst xmlns="http://schemas.openxmlformats.org/spreadsheetml/2006/main" count="10882" uniqueCount="622">
  <si>
    <t>Champion</t>
  </si>
  <si>
    <t>BL_ADAM_07 — MCoC Beginner Champion Guide</t>
  </si>
  <si>
    <t>S.NO</t>
  </si>
  <si>
    <t>Champions Name</t>
  </si>
  <si>
    <t>Rarity</t>
  </si>
  <si>
    <t>Awaken</t>
  </si>
  <si>
    <t>Rank</t>
  </si>
  <si>
    <t>QUICK GLOSSARY (simple terms used below)</t>
  </si>
  <si>
    <t>Future</t>
  </si>
  <si>
    <t>Armor Break Immunity</t>
  </si>
  <si>
    <t>Armor Shattered Immunity</t>
  </si>
  <si>
    <t>Champion Class</t>
  </si>
  <si>
    <t>Bad Vibes Immunity</t>
  </si>
  <si>
    <t>Story content</t>
  </si>
  <si>
    <t>The main quests/missions you play through to progress in the game.</t>
  </si>
  <si>
    <t>Bleed Immunity</t>
  </si>
  <si>
    <t>Buff immunity</t>
  </si>
  <si>
    <t>Coldsnap Immunity</t>
  </si>
  <si>
    <t>All-rounder</t>
  </si>
  <si>
    <t>Concussion Immunnity</t>
  </si>
  <si>
    <t>A champion who performs well in almost every situation — a safe, flexible choice.</t>
  </si>
  <si>
    <t>Crush Immunity</t>
  </si>
  <si>
    <t>Death Immunity</t>
  </si>
  <si>
    <t>Delirium Immunity</t>
  </si>
  <si>
    <t>Node remover</t>
  </si>
  <si>
    <t>Disintegrate Immunity</t>
  </si>
  <si>
    <t>Some quest paths have special rules ('nodes') that make fights harder. These champs can cancel or shrink those rules.</t>
  </si>
  <si>
    <t>Disorient Immunity</t>
  </si>
  <si>
    <t>S-Tier</t>
  </si>
  <si>
    <t>Miles Morales</t>
  </si>
  <si>
    <t>Falter Immunity</t>
  </si>
  <si>
    <t>Fate Seal Immunity</t>
  </si>
  <si>
    <t>Fatigue Immunity</t>
  </si>
  <si>
    <t>Frostbite Immunity</t>
  </si>
  <si>
    <t>Y</t>
  </si>
  <si>
    <t>Heal Block Immunity</t>
  </si>
  <si>
    <t>Incinerate Immunity</t>
  </si>
  <si>
    <t>Infuriate Immunity</t>
  </si>
  <si>
    <t>Intimidate Immunity</t>
  </si>
  <si>
    <t>Neuroshock Immunity</t>
  </si>
  <si>
    <t>Neutralize Immunity</t>
  </si>
  <si>
    <t>Nova Flame Immunity</t>
  </si>
  <si>
    <t>Nullify Immunity</t>
  </si>
  <si>
    <t>Science</t>
  </si>
  <si>
    <t>Petrify Immunity</t>
  </si>
  <si>
    <t>Hercules</t>
  </si>
  <si>
    <t>Poison Immunity</t>
  </si>
  <si>
    <t>Power Burn Immunity</t>
  </si>
  <si>
    <t>Colour</t>
  </si>
  <si>
    <t>Power Drain Immunity</t>
  </si>
  <si>
    <t>importance</t>
  </si>
  <si>
    <t>Power Lock Immunity</t>
  </si>
  <si>
    <t>SCIENCE CLASS</t>
  </si>
  <si>
    <t>Power Steal Immunity</t>
  </si>
  <si>
    <t>Power Sting Immunity</t>
  </si>
  <si>
    <t>Iron Man (Infamous)</t>
  </si>
  <si>
    <t>Precision Immunity</t>
  </si>
  <si>
    <t>Reverse Control Immunity</t>
  </si>
  <si>
    <t>Rupture Immunity</t>
  </si>
  <si>
    <t>Shock Immunity</t>
  </si>
  <si>
    <t>Slow Immunity</t>
  </si>
  <si>
    <t>Special Lock Immunity</t>
  </si>
  <si>
    <t>Spectre Immunity</t>
  </si>
  <si>
    <t>Stagger Immunity</t>
  </si>
  <si>
    <t>Stun Immunity</t>
  </si>
  <si>
    <t>Taunt Immunity</t>
  </si>
  <si>
    <t>Serpent</t>
  </si>
  <si>
    <t>Wither Immunity</t>
  </si>
  <si>
    <t>Hulking</t>
  </si>
  <si>
    <t>CGR</t>
  </si>
  <si>
    <t>VOX</t>
  </si>
  <si>
    <t>Kate Bishop</t>
  </si>
  <si>
    <t>N</t>
  </si>
  <si>
    <t>Bullseye</t>
  </si>
  <si>
    <t>Hit Mokey</t>
  </si>
  <si>
    <t>Yelena Belova</t>
  </si>
  <si>
    <t>Why good for Story / other content</t>
  </si>
  <si>
    <t>NickFury</t>
  </si>
  <si>
    <t>Why easy to handle</t>
  </si>
  <si>
    <t>Onslaught</t>
  </si>
  <si>
    <t>Archangle</t>
  </si>
  <si>
    <t>Magneto</t>
  </si>
  <si>
    <t>Domino</t>
  </si>
  <si>
    <t>Apocalypes</t>
  </si>
  <si>
    <t>Spider-Man
(Miles Morales)</t>
  </si>
  <si>
    <t>Kushala</t>
  </si>
  <si>
    <t>Doom</t>
  </si>
  <si>
    <t>BLCV</t>
  </si>
  <si>
    <t>Wiccan</t>
  </si>
  <si>
    <t>Nicro</t>
  </si>
  <si>
    <t>Silk</t>
  </si>
  <si>
    <t>Photon</t>
  </si>
  <si>
    <t>Human Tourch</t>
  </si>
  <si>
    <t>Completes small in-fight 'challenges' (like dodging or blocking) to earn fury buffs that boost his damage, and stacks debuffs on the enemy 
reliable pick for Story and beyond.</t>
  </si>
  <si>
    <t>Scorpion</t>
  </si>
  <si>
    <t>Spider-Ham</t>
  </si>
  <si>
    <t>Nimord</t>
  </si>
  <si>
    <t>Just play normally (dodge/block/attack) and the challenges complete themselves — no memorized rotation needed.</t>
  </si>
  <si>
    <t>shuri</t>
  </si>
  <si>
    <t>Tech</t>
  </si>
  <si>
    <t>Infamous Iron man</t>
  </si>
  <si>
    <t>VIV Vision</t>
  </si>
  <si>
    <t>IronHeart</t>
  </si>
  <si>
    <t>Sand-man</t>
  </si>
  <si>
    <t>Best Cosmic</t>
  </si>
  <si>
    <t>must best for all</t>
  </si>
  <si>
    <t>Great pick when a boss node punishes you for holding back — he rewards players who keep attacking non-stop.</t>
  </si>
  <si>
    <t>Very beginner friendly: just keep hitting combos, no tricky timing needed.</t>
  </si>
  <si>
    <t>Mutant</t>
  </si>
  <si>
    <t>Best Mystic</t>
  </si>
  <si>
    <t>Balanced fighter who does well in Story, Arena and most quests without needing a specific counter-matchup.</t>
  </si>
  <si>
    <t>Build up her Special 2 by landing hits (charges to 25) then release it — simple charge-and-release pattern.</t>
  </si>
  <si>
    <t>Best Mutant</t>
  </si>
  <si>
    <t>Good utility pick for nodes that punish debuffs — she can clear them off herself late in the fight.</t>
  </si>
  <si>
    <t>Just play normally; her clean-up ability triggers automatically when you land her Special 2 near the end.</t>
  </si>
  <si>
    <t>Best Science</t>
  </si>
  <si>
    <t>needed if node wanted</t>
  </si>
  <si>
    <t>Best Skill</t>
  </si>
  <si>
    <t>Best Tech</t>
  </si>
  <si>
    <t>SKILL CLASS</t>
  </si>
  <si>
    <t>Yelena</t>
  </si>
  <si>
    <t>One of the easiest 'node remover' champs — she strips away punishing node effects so story fights become simple.</t>
  </si>
  <si>
    <t>No complicated combos, very forgiving to use for beginners.</t>
  </si>
  <si>
    <t>Hit Monkey</t>
  </si>
  <si>
    <t>Strong all-round damage dealer who works well in Story and Arena thanks to high critical hit chance.</t>
  </si>
  <si>
    <t>Play aggressively and land crits — no special rotation required.</t>
  </si>
  <si>
    <t>Valkyrie</t>
  </si>
  <si>
    <t>Good for content where timing your moves matters (dashing back/forward at the right moment).</t>
  </si>
  <si>
    <t>Needs a bit of practice with movement timing, but pays off with strong damage once learned.</t>
  </si>
  <si>
    <t>MUTANT CLASS</t>
  </si>
  <si>
    <t>Her 'luck' mechanic can randomly trigger big bonuses, making her surprisingly strong for story content.</t>
  </si>
  <si>
    <t>Play normally and let her luck procs do the work — low skill floor.</t>
  </si>
  <si>
    <t>Removes annoying node effects just by landing basic hits/metal-based attacks, so he simplifies hard paths.</t>
  </si>
  <si>
    <t>Straightforward — just attack normally, no special rotation needed.</t>
  </si>
  <si>
    <t>Mystic</t>
  </si>
  <si>
    <t>Storm</t>
  </si>
  <si>
    <t>Excellent all-rounder; her Special 2 can control and weaken enemies, great for Story and Alliance War.</t>
  </si>
  <si>
    <t>Just build power and fire Special 2 — very consistent and reliable.</t>
  </si>
  <si>
    <t>Bishop</t>
  </si>
  <si>
    <t>good for all play</t>
  </si>
  <si>
    <t>Very strong once you learn his combo/rotation — turns enemy specials into his own power.</t>
  </si>
  <si>
    <t>Takes a bit more strategy/practice to get the timing of his rotation right.</t>
  </si>
  <si>
    <t>Hyperion</t>
  </si>
  <si>
    <t>Apocalypse</t>
  </si>
  <si>
    <t>ABS man</t>
  </si>
  <si>
    <t>Support-style champ who helps keep the team alive and buffed, useful in longer content.</t>
  </si>
  <si>
    <t>Simple to pilot — mostly about staying alive and letting his passive buffs work.</t>
  </si>
  <si>
    <t>Cosmic</t>
  </si>
  <si>
    <t>TECH CLASS</t>
  </si>
  <si>
    <t>Spider-Punk</t>
  </si>
  <si>
    <t>Baron Zemo</t>
  </si>
  <si>
    <t>No</t>
  </si>
  <si>
    <t>Skill</t>
  </si>
  <si>
    <t>Warlock</t>
  </si>
  <si>
    <t>requrement LVL</t>
  </si>
  <si>
    <t>Nimrod</t>
  </si>
  <si>
    <t>Excellent against Mutant opponents (very common in Story) — shocks them and shuts down their regeneration.</t>
  </si>
  <si>
    <t>Switch between his two modes and attack — straightforward once you know his 2 modes.</t>
  </si>
  <si>
    <t>Viv (Vision)</t>
  </si>
  <si>
    <t>Smart utility champ good for outlasting enemies and controlling fights with debuffs.</t>
  </si>
  <si>
    <t>Needs a little strategy/planning but not hard timing — more about picking the right moment.</t>
  </si>
  <si>
    <t>Bastion</t>
  </si>
  <si>
    <t>Reduces the effect of punishing nodes, making hard paths in Story/Quests much easier.</t>
  </si>
  <si>
    <t>Spider-Woman (Jessica Drew)</t>
  </si>
  <si>
    <t>Tricky/unpredictable playstyle — takes some getting used to.</t>
  </si>
  <si>
    <t>Maker</t>
  </si>
  <si>
    <t>Powerful utility for tough content but requires understanding his mechanics well.</t>
  </si>
  <si>
    <t>More complex — best for players ready to learn a detailed kit.</t>
  </si>
  <si>
    <t>Great against buff-heavy or healing enemies; drains their power and blocks their healing.</t>
  </si>
  <si>
    <t>Fun, forgiving playstyle — good for beginners once basics are known.</t>
  </si>
  <si>
    <t>Spider-Man 2099</t>
  </si>
  <si>
    <t>Simple, reliable damage dealer that works in most Story and Arena content.</t>
  </si>
  <si>
    <t>Titania</t>
  </si>
  <si>
    <t>Just attack — no tricky mechanics, great for beginners.</t>
  </si>
  <si>
    <t>Ironheart</t>
  </si>
  <si>
    <t>Countering Mutant champs is common in this game, and she covers that matchup well too.</t>
  </si>
  <si>
    <t>Playstyle is more about utility than combos — approachable once basics are known.</t>
  </si>
  <si>
    <t>Aegon</t>
  </si>
  <si>
    <t>must</t>
  </si>
  <si>
    <t>COSMIC CLASS</t>
  </si>
  <si>
    <t>Omega Sentinel</t>
  </si>
  <si>
    <t>Galan</t>
  </si>
  <si>
    <t>Extremely strong damage-over-time (degeneration) champ, one of the best in the game for pure damage.</t>
  </si>
  <si>
    <t>Simple to use offensively — his damage does the talking, minimal setup needed.</t>
  </si>
  <si>
    <t>Good node remover, especially useful against armored/tanky enemies.</t>
  </si>
  <si>
    <t>Juggernaut</t>
  </si>
  <si>
    <t>Play defensively and let his ability chip away nodes — beginner friendly.</t>
  </si>
  <si>
    <t>Well-known, reliable all-rounder — works in almost every game mode without a bad matchup.</t>
  </si>
  <si>
    <t>Very beginner friendly, straightforward attack pattern.</t>
  </si>
  <si>
    <t>Kitty Pryde</t>
  </si>
  <si>
    <t>Yes</t>
  </si>
  <si>
    <t>Big raw damage output, great for pushing through story content quickly.</t>
  </si>
  <si>
    <t>Simple 'hit hard' playstyle, not much setup required.</t>
  </si>
  <si>
    <t>Nico Minoru</t>
  </si>
  <si>
    <t>The All-Father (Odin)</t>
  </si>
  <si>
    <t>Support champ who helps keep the team topped up and buffed for longer fights.</t>
  </si>
  <si>
    <t>Easy to use — mostly about staying safe and letting his support abilities work.</t>
  </si>
  <si>
    <t>Kingpin</t>
  </si>
  <si>
    <t>MYSTIC CLASS</t>
  </si>
  <si>
    <t>Helpfull</t>
  </si>
  <si>
    <t>Flexible all-rounder who can be played multiple ways depending on the fight — good for Story and Quests.</t>
  </si>
  <si>
    <t>Requires understanding his tactic options, but forgiving once you pick one.</t>
  </si>
  <si>
    <t>Unique dimension-based mechanics make her strong in specific matchups, though harder to summarize simply.</t>
  </si>
  <si>
    <t>More advanced champ — takes time to learn her different modes.</t>
  </si>
  <si>
    <t>Doctor Doom</t>
  </si>
  <si>
    <t>One of the most reliable, powerful Mystic champs — dominates most Story and Alliance War content.</t>
  </si>
  <si>
    <t>Simple special-attack loop once learned makes him surprisingly consistent.</t>
  </si>
  <si>
    <t>Very tanky and hard to stop — great for absorbing damage in tough story fights.</t>
  </si>
  <si>
    <t>Beginner friendly — mostly about attacking and tanking hits, becomes unstoppable easily.</t>
  </si>
  <si>
    <t>Mister Fantastic</t>
  </si>
  <si>
    <t>Nico</t>
  </si>
  <si>
    <t>Deals strong damage-over-time effects, good against enemies who don't have DOT immunity.</t>
  </si>
  <si>
    <t>Reduces punishing nodes and deals damage passively — fairly simple to use.</t>
  </si>
  <si>
    <t>Shocker</t>
  </si>
  <si>
    <t>needed</t>
  </si>
  <si>
    <t>My persnol choose</t>
  </si>
  <si>
    <t>King Groot</t>
  </si>
  <si>
    <t>Rintrah</t>
  </si>
  <si>
    <t>Mantis</t>
  </si>
  <si>
    <t>class</t>
  </si>
  <si>
    <t>Ghost</t>
  </si>
  <si>
    <t>For too difficult matchup</t>
  </si>
  <si>
    <t>normal play</t>
  </si>
  <si>
    <t>science</t>
  </si>
  <si>
    <t>The Champion</t>
  </si>
  <si>
    <t>silk</t>
  </si>
  <si>
    <t>skill</t>
  </si>
  <si>
    <t>yelena</t>
  </si>
  <si>
    <t>Pavitra prabakar</t>
  </si>
  <si>
    <t>mutant</t>
  </si>
  <si>
    <t>She-Hulk</t>
  </si>
  <si>
    <t>Onslught</t>
  </si>
  <si>
    <t>Random</t>
  </si>
  <si>
    <t>VIVA, Iron heart</t>
  </si>
  <si>
    <t>Capatain Britain</t>
  </si>
  <si>
    <t>Iron heart</t>
  </si>
  <si>
    <t>Lumatrix</t>
  </si>
  <si>
    <t>Wiccan, Kushala</t>
  </si>
  <si>
    <t>Black Widow CV</t>
  </si>
  <si>
    <t>Okoye</t>
  </si>
  <si>
    <t>Morbius</t>
  </si>
  <si>
    <t>Red Goblin</t>
  </si>
  <si>
    <t>Viv Vision</t>
  </si>
  <si>
    <t>Sunspot</t>
  </si>
  <si>
    <t>Hawkeye</t>
  </si>
  <si>
    <t>Anti Venom</t>
  </si>
  <si>
    <t>Spider-Gwen</t>
  </si>
  <si>
    <t>Falcon</t>
  </si>
  <si>
    <t>Ronan</t>
  </si>
  <si>
    <t>Iron Man</t>
  </si>
  <si>
    <t>Iceman</t>
  </si>
  <si>
    <t>Shehulk</t>
  </si>
  <si>
    <t>Blade</t>
  </si>
  <si>
    <t>Omega Red</t>
  </si>
  <si>
    <t>Spider-Woman</t>
  </si>
  <si>
    <t>Elsa Bloodstone</t>
  </si>
  <si>
    <t>Red Skull</t>
  </si>
  <si>
    <t>Venompool</t>
  </si>
  <si>
    <t>The Serpent</t>
  </si>
  <si>
    <t>Ghost Rider</t>
  </si>
  <si>
    <t>Korg</t>
  </si>
  <si>
    <t>Wepon X</t>
  </si>
  <si>
    <t>Sentinel</t>
  </si>
  <si>
    <t>Count nefaria</t>
  </si>
  <si>
    <t>Baran Zemo</t>
  </si>
  <si>
    <t>Doctor Voodoo</t>
  </si>
  <si>
    <t>yondu</t>
  </si>
  <si>
    <t>Venom</t>
  </si>
  <si>
    <t>Gamora</t>
  </si>
  <si>
    <t>Doctor Strange</t>
  </si>
  <si>
    <t>Spider-Man (Classic)</t>
  </si>
  <si>
    <t>Mister Sinister</t>
  </si>
  <si>
    <t>Hulk (imortal)</t>
  </si>
  <si>
    <t>Hawkey</t>
  </si>
  <si>
    <t>Rocker Raccon</t>
  </si>
  <si>
    <t>Knull</t>
  </si>
  <si>
    <t>VOODOO</t>
  </si>
  <si>
    <t xml:space="preserve">Hulk </t>
  </si>
  <si>
    <t>Cheelith</t>
  </si>
  <si>
    <t>Ultron</t>
  </si>
  <si>
    <t>Odin</t>
  </si>
  <si>
    <t>Jean Gray</t>
  </si>
  <si>
    <t>Wong</t>
  </si>
  <si>
    <t>Magneto(white)</t>
  </si>
  <si>
    <t>Void</t>
  </si>
  <si>
    <t>Attuma</t>
  </si>
  <si>
    <t>Thing</t>
  </si>
  <si>
    <t>Human Torch</t>
  </si>
  <si>
    <t xml:space="preserve">venom </t>
  </si>
  <si>
    <t>Purgatory</t>
  </si>
  <si>
    <t>Jean Grey</t>
  </si>
  <si>
    <t>Spider all</t>
  </si>
  <si>
    <t>Mole man</t>
  </si>
  <si>
    <t>Anti-Venom</t>
  </si>
  <si>
    <t>Sasquatch</t>
  </si>
  <si>
    <t>Toad</t>
  </si>
  <si>
    <t>Black Widow (Claire Voyant)</t>
  </si>
  <si>
    <t xml:space="preserve">miles </t>
  </si>
  <si>
    <t>MR.knight</t>
  </si>
  <si>
    <t>Hulk (Immortal)</t>
  </si>
  <si>
    <t>Arcade</t>
  </si>
  <si>
    <t>Dazzler</t>
  </si>
  <si>
    <t>LongShot</t>
  </si>
  <si>
    <t>Jeo Fixit</t>
  </si>
  <si>
    <t>G 2099</t>
  </si>
  <si>
    <t>Karolina Dean</t>
  </si>
  <si>
    <t>Support</t>
  </si>
  <si>
    <t>Heimdall</t>
  </si>
  <si>
    <t xml:space="preserve">1 time Death Free, fury 
</t>
  </si>
  <si>
    <t>Spider-Man (Stark Enhanced)</t>
  </si>
  <si>
    <t>Hella</t>
  </si>
  <si>
    <t>Pre-Fight</t>
  </si>
  <si>
    <t>Prowler</t>
  </si>
  <si>
    <t>Chee'ilth</t>
  </si>
  <si>
    <t>Negasonic Teenage Warhead</t>
  </si>
  <si>
    <t>Silver Surfer</t>
  </si>
  <si>
    <t>Hit-Monkey</t>
  </si>
  <si>
    <t>Corvus Glaive</t>
  </si>
  <si>
    <t>Mole Man</t>
  </si>
  <si>
    <t>Emma Frost</t>
  </si>
  <si>
    <t>Beta Ray Bill</t>
  </si>
  <si>
    <t>Moondragon</t>
  </si>
  <si>
    <t>Colossus</t>
  </si>
  <si>
    <t>Milse (Mister Sinister?)</t>
  </si>
  <si>
    <t>Gets stronger the longer a fight goes on and can heal himself back up, so he holds his own in long story fights
Name unclear from your notes please confirm exact champion.</t>
  </si>
  <si>
    <t>Cosmic Ghost Rider</t>
  </si>
  <si>
    <t>Simple 'hit and hold' playstyle once his buffs are up.</t>
  </si>
  <si>
    <t>Mephisto</t>
  </si>
  <si>
    <t>Jabari Panther</t>
  </si>
  <si>
    <t>Wasp</t>
  </si>
  <si>
    <t>Killmonger</t>
  </si>
  <si>
    <t>Black Panther</t>
  </si>
  <si>
    <t>Gwenpool</t>
  </si>
  <si>
    <t>Professor X</t>
  </si>
  <si>
    <t>Rogue</t>
  </si>
  <si>
    <t>Super-Skrull</t>
  </si>
  <si>
    <t>Absorbing Man</t>
  </si>
  <si>
    <t>Ebony Maw</t>
  </si>
  <si>
    <t>Tigra</t>
  </si>
  <si>
    <t>Spider-Man (Miles Morales)</t>
  </si>
  <si>
    <t>Completes small in-fight 'challenges' (like dodging or blocking) to earn fury buffs that boost his damage, and stacks debuffs on the enemy — reliable pick for Story and beyond.</t>
  </si>
  <si>
    <t>White Tiger</t>
  </si>
  <si>
    <t>Dragon Man</t>
  </si>
  <si>
    <t>Ant-Man (Future)</t>
  </si>
  <si>
    <t>Magneto (House of X)</t>
  </si>
  <si>
    <t>Vision</t>
  </si>
  <si>
    <t>Isophyne</t>
  </si>
  <si>
    <t>Gambit</t>
  </si>
  <si>
    <t>Hulk</t>
  </si>
  <si>
    <t>Cull Obsidian</t>
  </si>
  <si>
    <t>Guillotine 2099</t>
  </si>
  <si>
    <t>Superior Iron Man</t>
  </si>
  <si>
    <t>Thor</t>
  </si>
  <si>
    <t>Rocket Raccoon</t>
  </si>
  <si>
    <t>Spot</t>
  </si>
  <si>
    <t>Red Hulk</t>
  </si>
  <si>
    <t>Sandman</t>
  </si>
  <si>
    <t>Spider-Man (Supreme)</t>
  </si>
  <si>
    <t>Thor (Jane Foster)</t>
  </si>
  <si>
    <t>Kindred</t>
  </si>
  <si>
    <t>Storm (Pyramid X)</t>
  </si>
  <si>
    <t>Hela</t>
  </si>
  <si>
    <t>S.No</t>
  </si>
  <si>
    <t>Ms. Marvel</t>
  </si>
  <si>
    <t>Captain America (Civil War)</t>
  </si>
  <si>
    <t>Spider-Man (Symbiote)</t>
  </si>
  <si>
    <t>Black Bolt</t>
  </si>
  <si>
    <t>Champion Name</t>
  </si>
  <si>
    <t>Blue Marvel</t>
  </si>
  <si>
    <t>Venom the Duck</t>
  </si>
  <si>
    <t>Silver Sable</t>
  </si>
  <si>
    <t>Shatterstar</t>
  </si>
  <si>
    <t>Peni Parker</t>
  </si>
  <si>
    <t>Pixie</t>
  </si>
  <si>
    <t>Black Panther (Civil War)</t>
  </si>
  <si>
    <t>Silver Samurai</t>
  </si>
  <si>
    <t>Cassandra Nova</t>
  </si>
  <si>
    <t>Iron Man (Infinity War)</t>
  </si>
  <si>
    <t>Red Guardian</t>
  </si>
  <si>
    <t>Gentle</t>
  </si>
  <si>
    <t>Northstar</t>
  </si>
  <si>
    <t>Mr. Knight</t>
  </si>
  <si>
    <t>Dust</t>
  </si>
  <si>
    <t>Daredevil (Hell's Kitchen)</t>
  </si>
  <si>
    <t>Dani Moonstar</t>
  </si>
  <si>
    <t>Captain Britain</t>
  </si>
  <si>
    <t>Sauron</t>
  </si>
  <si>
    <t>Silver Centurion</t>
  </si>
  <si>
    <t>Jubilee</t>
  </si>
  <si>
    <t>Stryfe</t>
  </si>
  <si>
    <t>Platinum Pool</t>
  </si>
  <si>
    <t>Wolverine (Weapon X)</t>
  </si>
  <si>
    <t>Captain America (Sam Wilson)</t>
  </si>
  <si>
    <t>Stars</t>
  </si>
  <si>
    <t>Havok</t>
  </si>
  <si>
    <t>Namor</t>
  </si>
  <si>
    <t>Hulk (Ragnarok)</t>
  </si>
  <si>
    <t>Sabretooth</t>
  </si>
  <si>
    <t>Goldpool</t>
  </si>
  <si>
    <t>Frankencastle</t>
  </si>
  <si>
    <t>Ant-Man</t>
  </si>
  <si>
    <t>Psylocke</t>
  </si>
  <si>
    <t>Cable</t>
  </si>
  <si>
    <t>Psycho-Man</t>
  </si>
  <si>
    <t>Archangel</t>
  </si>
  <si>
    <t>Beast</t>
  </si>
  <si>
    <t>Cyclops (Blue Team)</t>
  </si>
  <si>
    <t>Gorr</t>
  </si>
  <si>
    <t>Wolverine (X 23)</t>
  </si>
  <si>
    <t>Old Man Logan</t>
  </si>
  <si>
    <t>Howard the Duck</t>
  </si>
  <si>
    <t>Nightcrawler</t>
  </si>
  <si>
    <t>Deadpool</t>
  </si>
  <si>
    <t>Spider-Man (Stealth Suit)</t>
  </si>
  <si>
    <t>Cyclops (New Xavier School)</t>
  </si>
  <si>
    <t>Deadpool (X-Force)</t>
  </si>
  <si>
    <t>Wolverine</t>
  </si>
  <si>
    <t>Spider-Slayer (J. Jonah Jameson)</t>
  </si>
  <si>
    <t>Phyla-Vell</t>
  </si>
  <si>
    <t>Mister Negative</t>
  </si>
  <si>
    <t>Imperiosa</t>
  </si>
  <si>
    <t>Dark Phoenix</t>
  </si>
  <si>
    <t>Mysterio</t>
  </si>
  <si>
    <t>Thanos (Deathless)</t>
  </si>
  <si>
    <t>Scream</t>
  </si>
  <si>
    <t>Taskmaster</t>
  </si>
  <si>
    <t>King Groot (Deathless)</t>
  </si>
  <si>
    <t>Shang-Chi</t>
  </si>
  <si>
    <t>Maestro</t>
  </si>
  <si>
    <t>Gladiator</t>
  </si>
  <si>
    <t>Black Cat</t>
  </si>
  <si>
    <t>Vox</t>
  </si>
  <si>
    <t>Adam Warlock</t>
  </si>
  <si>
    <t>Hulkling</t>
  </si>
  <si>
    <t>Ikaris</t>
  </si>
  <si>
    <t>Sersi</t>
  </si>
  <si>
    <t>Enchantress</t>
  </si>
  <si>
    <t>Nova</t>
  </si>
  <si>
    <t>Captain Marvel</t>
  </si>
  <si>
    <t>Air-Walker</t>
  </si>
  <si>
    <t>Terrax</t>
  </si>
  <si>
    <t>Werewolf By Night</t>
  </si>
  <si>
    <t>Scarlet Witch</t>
  </si>
  <si>
    <t>Annihilus</t>
  </si>
  <si>
    <t>Vision (Aarkus)</t>
  </si>
  <si>
    <t>Mordo</t>
  </si>
  <si>
    <t>Venom The Duck</t>
  </si>
  <si>
    <t>Proxima Midnight</t>
  </si>
  <si>
    <t>Carnage</t>
  </si>
  <si>
    <t>Angela</t>
  </si>
  <si>
    <t>Medusa</t>
  </si>
  <si>
    <t>Spiral</t>
  </si>
  <si>
    <t>Thanos</t>
  </si>
  <si>
    <t>Ms. Marvel (Kamala Khan)</t>
  </si>
  <si>
    <t>Green Goblin</t>
  </si>
  <si>
    <t>Phoenix</t>
  </si>
  <si>
    <t>Cassie Lang</t>
  </si>
  <si>
    <t>Groot</t>
  </si>
  <si>
    <t>Drax</t>
  </si>
  <si>
    <t>Captain Marvel (Classic)</t>
  </si>
  <si>
    <t>Black Widow (Deadly Origin)</t>
  </si>
  <si>
    <t>Agatha Harkness</t>
  </si>
  <si>
    <t>Blade (Stellar Forged)</t>
  </si>
  <si>
    <t>Sentry</t>
  </si>
  <si>
    <t>Madelyne Pryor</t>
  </si>
  <si>
    <t>Spider-Man (Pavitr Prabhakar)</t>
  </si>
  <si>
    <t>The Destroyer</t>
  </si>
  <si>
    <t>Dracula</t>
  </si>
  <si>
    <t>M.O.D.O.K.</t>
  </si>
  <si>
    <t>Shathra</t>
  </si>
  <si>
    <t>America Chavez</t>
  </si>
  <si>
    <t>Mojo</t>
  </si>
  <si>
    <t>Guillotine (Deathless)</t>
  </si>
  <si>
    <t>Longshot</t>
  </si>
  <si>
    <t>Yellowjacket</t>
  </si>
  <si>
    <t>Jessica Jones</t>
  </si>
  <si>
    <t>Mangog</t>
  </si>
  <si>
    <t>Scarlet Witch (Sigil)</t>
  </si>
  <si>
    <t>Punisher 2099</t>
  </si>
  <si>
    <t>Arnim Zola</t>
  </si>
  <si>
    <t>Sorcerer Supreme</t>
  </si>
  <si>
    <t>Vulture</t>
  </si>
  <si>
    <t>Man-Thing</t>
  </si>
  <si>
    <t>Diablo</t>
  </si>
  <si>
    <t>Joe Fixit</t>
  </si>
  <si>
    <t>Symbiote Supreme</t>
  </si>
  <si>
    <t>Dormammu</t>
  </si>
  <si>
    <t>Morningstar</t>
  </si>
  <si>
    <t>The Hood</t>
  </si>
  <si>
    <t>Loki</t>
  </si>
  <si>
    <t>Wolverine (X-23)</t>
  </si>
  <si>
    <t>Elektra</t>
  </si>
  <si>
    <t>Iron Fist</t>
  </si>
  <si>
    <t>Unstoppable Colossus</t>
  </si>
  <si>
    <t>M'Baku</t>
  </si>
  <si>
    <t>Iron Fist (Immortal)</t>
  </si>
  <si>
    <t>Scarlet Witch (Classic)</t>
  </si>
  <si>
    <t>Guillotine</t>
  </si>
  <si>
    <t>Magik</t>
  </si>
  <si>
    <t>Hulkbuster</t>
  </si>
  <si>
    <t>Wave</t>
  </si>
  <si>
    <t>Lizard</t>
  </si>
  <si>
    <t>High Evolutionary</t>
  </si>
  <si>
    <t>Daredevil (Classic)</t>
  </si>
  <si>
    <t>Falcon (Joaquin Torres)</t>
  </si>
  <si>
    <t>She-Hulk (Deathless)</t>
  </si>
  <si>
    <t>Winter Soldier</t>
  </si>
  <si>
    <t>Count Nefaria</t>
  </si>
  <si>
    <t>The Leader</t>
  </si>
  <si>
    <t>Abomination</t>
  </si>
  <si>
    <t>QuickSilver</t>
  </si>
  <si>
    <t>Captain America</t>
  </si>
  <si>
    <t>The Overseer</t>
  </si>
  <si>
    <t>Spider Man 2099</t>
  </si>
  <si>
    <t>Luke Cage</t>
  </si>
  <si>
    <t>Abomination (Immortal)</t>
  </si>
  <si>
    <t>Invisible Woman</t>
  </si>
  <si>
    <t>Captain America (Infinity War)</t>
  </si>
  <si>
    <t>Spider man (Miles Morales)</t>
  </si>
  <si>
    <t>Quake</t>
  </si>
  <si>
    <t>Captain America (WWII)</t>
  </si>
  <si>
    <t>Rhino</t>
  </si>
  <si>
    <t>Not found in uploaded class sheets</t>
  </si>
  <si>
    <t>Electro</t>
  </si>
  <si>
    <t>Yellow Jacket</t>
  </si>
  <si>
    <t>Black Tarantula</t>
  </si>
  <si>
    <t>Doctor Bong</t>
  </si>
  <si>
    <t>M’Baku</t>
  </si>
  <si>
    <t>Star-Lord (Stellar Forged)</t>
  </si>
  <si>
    <t>Franken-Castle</t>
  </si>
  <si>
    <t>Patriot</t>
  </si>
  <si>
    <t>Misty Knight</t>
  </si>
  <si>
    <t>Kraven</t>
  </si>
  <si>
    <t>Shang Chi</t>
  </si>
  <si>
    <t>Squirrel Girl</t>
  </si>
  <si>
    <t>Ronin</t>
  </si>
  <si>
    <t>Spider-Man (Stealth-Suit)</t>
  </si>
  <si>
    <t>Nick Fury</t>
  </si>
  <si>
    <t>Night Thrasher</t>
  </si>
  <si>
    <t>Masacre</t>
  </si>
  <si>
    <t>Ægon</t>
  </si>
  <si>
    <t>Thor (Ragnarok)</t>
  </si>
  <si>
    <t>Agent Venom</t>
  </si>
  <si>
    <t>Karnak</t>
  </si>
  <si>
    <t>Crossbones</t>
  </si>
  <si>
    <t>Punisher</t>
  </si>
  <si>
    <t>Moon Knight</t>
  </si>
  <si>
    <t>Black Widow</t>
  </si>
  <si>
    <t>Hobgoblin (Phil Urich)</t>
  </si>
  <si>
    <t>Ruby Thursday</t>
  </si>
  <si>
    <t>Solvarch</t>
  </si>
  <si>
    <t>The Maker</t>
  </si>
  <si>
    <t>Jack O’Lantern</t>
  </si>
  <si>
    <t>Vision (Deathless)</t>
  </si>
  <si>
    <t>Lady Deathstrike</t>
  </si>
  <si>
    <t>Shuri</t>
  </si>
  <si>
    <t>Guardian</t>
  </si>
  <si>
    <t>Darkhawk</t>
  </si>
  <si>
    <t>Yondu</t>
  </si>
  <si>
    <t>Spider Man (Stark Enhanced)</t>
  </si>
  <si>
    <t>Doctor Octopus</t>
  </si>
  <si>
    <t>Nebula</t>
  </si>
  <si>
    <t>Ultron (Classic)</t>
  </si>
  <si>
    <t>Civil Warrior</t>
  </si>
  <si>
    <t>Howard The Duck</t>
  </si>
  <si>
    <t>Kang the Conqueror</t>
  </si>
  <si>
    <t>Iron Patriot</t>
  </si>
  <si>
    <t>Star-Lord</t>
  </si>
  <si>
    <t>Vision (Age of Ultron)</t>
  </si>
  <si>
    <t>War Machine</t>
  </si>
  <si>
    <t>Immunity</t>
  </si>
  <si>
    <t>Description</t>
  </si>
  <si>
    <t>Champion Count</t>
  </si>
  <si>
    <t>Champions</t>
  </si>
  <si>
    <t>Ability Accuracy Reduction Immunity</t>
  </si>
  <si>
    <t>Ability Accuracy cannot be reduced.</t>
  </si>
  <si>
    <t>Archangel, Ironheart, Lady Deathstrike, Longshot, Mordo, Mysterio, Nimrod, Old Man Logan, Red Skull, Shuri</t>
  </si>
  <si>
    <t>Immunity to Armor Break, Armor Shatter effects</t>
  </si>
  <si>
    <t>Absorbing Man, Colossus, Diablo, Doctor Doom, Lady Deathstrike, Man-Thing, Mangog, Sasquatch, Sentinel, The Destroyer, Thing, Wiccan</t>
  </si>
  <si>
    <t>Absorbing Man, Colossus, Doctor Doom, Dragon Man, Man-Thing, Thing</t>
  </si>
  <si>
    <t>Bleed Immunity is a Passive Ability that makes a Champion immune to the effects of Bleed</t>
  </si>
  <si>
    <t>Absorbing Man, Apocalypse, Arnim Zola, Black Widow (Claire Voyant), Blue Marvel, Colossus, Cosmic Ghost Rider, Count Nefaria, Darkhawk, Dormammu, Dragon Man, Dust, Emma Frost, Gentle, Ghost Rider, Groot, Guillotine 2099, Howard The Duck, Iceman, Imperiosa, Iron Man (Infinity War), Isophyne, King Groot, King Groot (Deathless), Korg, Kushala, Luke Cage, Lumatrix, Madelyne Pryor, Magneto (House of X), Man-Thing, Mangog, Morningstar, Nebula, Nimrod, Photon, Prowler, Sandman, Sentinel, Solvarch, Spider-Slayer (J. Jonah Jameson), Terrax, The Destroyer, Thing, Ultron, Ultron (Classic), Unstoppable Colossus, Vision, Vision (Age of Ultron), Vision (Deathless), Viv Vision, Warlock, Kraven, Arcade, Magik, Purgatory, Mephisto, Purgatory, Purgatory, Dormammu, Magik, Mephisto, The Hood, The Hood, Purgatory, Titania, Absorbing Man</t>
  </si>
  <si>
    <t>Grants immunity to buffs.</t>
  </si>
  <si>
    <t>Ant-Man, Black Widow (Claire Voyant), Cassie Lang, High Evolutionary, Lizard, Nico Minoru, Red Guardian, Spider Man 2099, Spot, Titania, Hulk, Silver Surfer</t>
  </si>
  <si>
    <t>Coldsnap immunity is an ability that allows a champion to not take damage from cold damage.</t>
  </si>
  <si>
    <t>Absorbing Man, Colossus, Emma Frost, Human Torch, Iceman, Iron Man (Infinity War), Ironheart, Isophyne, Karolina Dean, Mephisto, Sabretooth, Sentinel, Storm (Pyramid X), Thanos (Deathless), The Serpent, Vision (Deathless), Warlock, Doctor Strange, Dormammu, Storm, Storm (Pyramid X)</t>
  </si>
  <si>
    <t>Shocker, Spider-Punk, Yondu</t>
  </si>
  <si>
    <t>Death Immunity prevents a Champion from being Knocked Out and May confer other benefits.</t>
  </si>
  <si>
    <t>The Serpent, Moondragon, Phyla-Vell</t>
  </si>
  <si>
    <t>Prowler, Spiral</t>
  </si>
  <si>
    <t>Galan, Mister Negative, Omega Sentinel, Red Skull, Sentry, The Champion, The Overseer, The Serpent, Thing, Viv Vision, Hulk, Hulkbuster, Mordo, Doctor Voodoo, Sorcerer Supreme, Wiccan, Wong</t>
  </si>
  <si>
    <t>Absorbing Man, Colossus, Emma Frost, Human Torch, Iceman, Ironheart, Isophyne, Karolina Dean, Mephisto, M’Baku, Sabretooth, Sasquatch, Sentinel, Storm (Pyramid X), Thanos (Deathless), Vision (Deathless), Warlock</t>
  </si>
  <si>
    <t>Dracula, Gorr, Kindred, Lady Deathstrike, Lizard, Phoenix, The Champion, The Serpent, Werewolf By Night</t>
  </si>
  <si>
    <t>Incinerate Immunity is a Passive Ability that makes a Champion immune to the effects of Incinerate</t>
  </si>
  <si>
    <t>Absorbing Man, Anti-Venom, Apocalypse, Arcade, Attuma, Black Widow (Claire Voyant), Colossus, Cosmic Ghost Rider, Dark Phoenix, Emma Frost, Ghost Rider, Havok, Human Torch, Iceman, Ikaris, Iron Man (Infamous), Ironheart, Jack O’Lantern, Kindred, Kitty Pryde, Kushala, Maestro, Night Thrasher, Peni Parker, Phoenix, Prowler, Purgatory, Red Goblin, Red Hulk, Sentry, Sunspot, Super-Skrull, Void, Vulture, Dazzler, Kitty Pryde, Dormammu, Doctor Strange, Storm, Storm (Pyramid X), Venompool, Human Torch, Red Hulk, Sunspot</t>
  </si>
  <si>
    <t>Gain Immunity to Infuriate Debuff.</t>
  </si>
  <si>
    <t>Kindred, The Destroyer</t>
  </si>
  <si>
    <t>Gain Immunity to Intimidate Debuff.</t>
  </si>
  <si>
    <t>Gain Immunity to Neutralize.</t>
  </si>
  <si>
    <t>High Evolutionary, Photon, Spider-Woman, The Overseer, Spider-Man (Supreme)</t>
  </si>
  <si>
    <t>Dark Phoenix, Iceman</t>
  </si>
  <si>
    <t>Civil Warrior, Dazzler, Doctor Bong, Galan, Mister Negative, Omega Sentinel, Red Skull, Sentry, The Overseer, Thing, Viv Vision, White Tiger, Crossbones, Punisher 2099, Red Skull, Hulk, Hulkbuster, Mangog, Odin, Mordo, Doctor Voodoo, Sorcerer Supreme, Wiccan, Wong, Vulture, Prowler</t>
  </si>
  <si>
    <t>Daredevil (Hell's Kitchen), Franken-Castle, Kingpin, The Champion, Wolverine (Weapon X)</t>
  </si>
  <si>
    <t>Poison Immunity is a Passive Ability that makes a Champion immune to the effects of Poison</t>
  </si>
  <si>
    <t>Abomination, Ant-Man, Anti-Venom, Arcade, Arnim Zola, Black Bolt, Black Tarantula, Black Widow (Claire Voyant), Captain Marvel, Captain Marvel (Classic), Cassie Lang, Darkhawk, Dormammu, Dragon Man, Dust, Emma Frost, Franken-Castle, Guillotine 2099, Hobgoblin (Phil Urich), Hulk, Hulk (Immortal), Hulk (Ragnarok), Hulkling, Hyperion, Iceman, Joe Fixit, Kindred, Lizard, Maestro, Medusa, Mephisto, Ms. Marvel, Ms. Marvel (Kamala Khan), Nebula, Nico Minoru, Nimrod, Omega Red, Peni Parker, Phyla-Vell, Red Hulk, Ronan, Sandman, Sauron, Scorpion, Sentinel, She-Hulk, She-Hulk (Deathless), Solvarch, Spider-Slayer (J. Jonah Jameson), Spider-Woman, Thanos (Deathless), The Destroyer, The Leader, The Overseer, Toad, Ultron, Ultron (Classic), Vision, Vision (Age of Ultron), Vision (Deathless), Viv Vision, Vox, Warlock, Yelena Belova, Absorbing Man, Abomination (Immortal), Hulk (Immortal), Hawkeye, Black Widow, Black Widow (Deadly Origin), Nick Fury, Quake, Vulture, Sentry, Ultron, War Machine</t>
  </si>
  <si>
    <t>Galan, Gladiator, Hulkling, King Groot, King Groot (Deathless), Phoenix, Red Goblin, Vox, Thanos (Deathless), Vision (Deathless)</t>
  </si>
  <si>
    <t>Beta Ray Bill, Dark Phoenix, Galan, Gladiator, Hulkling, Imperiosa, King Groot, King Groot (Deathless), Phoenix, Vox, Thanos (Deathless), Vision (Deathless)</t>
  </si>
  <si>
    <t>Immune to Power Lock.</t>
  </si>
  <si>
    <t>Enchantress, Galan, Karolina Dean, Phoenix, The Serpent, Vox</t>
  </si>
  <si>
    <t>Blue Marvel, Cassie Lang, Count Nefaria, Hulkling, Photon, Sauron, Spider-Woman</t>
  </si>
  <si>
    <t>Grants immunity to reverse controls</t>
  </si>
  <si>
    <t>Ironheart, Jack O’Lantern, Jean Grey, Juggernaut, Mister Sinister, Moondragon, Professor X, The Maker, Viv Vision, Wiccan, Hulk, The Overseer, Hulk (Immortal), The Overseer, Hulk (Ragnarok), The Overseer, Joe Fixit, The Overseer, Kitty Pryde, Emma Frost, Mysterio, Emma Frost, Prowler, Spider-Punk, Spider-Punk, Prowler, Spiral, Gambit, Rogue, The Overseer, Hulk, Hulk (Immortal), Hulk (Ragnarok), Joe Fixit, Vision (Deathless), Thanos (Deathless)</t>
  </si>
  <si>
    <t>High Evolutionary, Lady Deathstrike, Lumatrix, Madelyne Pryor, Nico Minoru, Scorpion, Spider-Punk, She-Hulk (Deathless), Thanos (Deathless)</t>
  </si>
  <si>
    <t>Shock Immunity is a Passive Ability that makes a Champion immune to the effects of Shock</t>
  </si>
  <si>
    <t>Absorbing Man, Ant-Man, Arcade, Beta Ray Bill, Cassie Lang, Doctor Doom, Dust, Electro, Emma Frost, Hulkling, Ikaris, Iron Man (Infamous), Korg, Maestro, Mole Man, Nebula, Sandman, Scorpion, Shocker, Shuri, Storm, Super-Skrull, Terrax, Thing, Thor (Ragnarok), Vulture, Kingpin, Masacre, Yellow Jacket</t>
  </si>
  <si>
    <t>The Destroyer, Ultron</t>
  </si>
  <si>
    <t>Galan, Imperiosa, Karolina Dean, Phoenix, Phyla-Vell, The Serpent, Vox, Venompool, Spider-Man (Supreme)</t>
  </si>
  <si>
    <t>Civil Warrior, Mister Negative, Omega Sentinel, Red Skull, The Overseer, Thing, Crossbones, Punisher 2099, Red Skull, Hulk, Hulkbuster</t>
  </si>
  <si>
    <t>This ability allows the Champion to ignore incoming Stun debuffs</t>
  </si>
  <si>
    <t>Diablo, Emma Frost, Gentle, Hercules, Kindred, Kitty Pryde, Nick Fury, Rintrah, Spot, The Hood, Viv Vision, Hulkling, Wiccan, Peni Parker, Air-Walker, Falcon</t>
  </si>
  <si>
    <t>Gain Immunity to Taunt Debuff.</t>
  </si>
  <si>
    <t>Punisher, Thor (Ragnarok)</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</si>
</sst>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22">
    <font>
      <sz val="10.0"/>
      <color rgb="FF000000"/>
      <name val="Arial"/>
      <scheme val="minor"/>
    </font>
    <font>
      <b/>
      <color rgb="FFFFFFFF"/>
      <name val="Arial"/>
    </font>
    <font>
      <b/>
      <sz val="16.0"/>
      <color rgb="FFFFFFFF"/>
      <name val="Arial"/>
    </font>
    <font>
      <b/>
      <sz val="11.0"/>
      <color rgb="FFFFFFFF"/>
      <name val="Arial"/>
    </font>
    <font>
      <i/>
      <color rgb="FF000000"/>
      <name val="Arial"/>
    </font>
    <font>
      <sz val="11.0"/>
      <color rgb="FF000000"/>
      <name val="Calibri"/>
    </font>
    <font>
      <b/>
      <sz val="12.0"/>
      <color rgb="FFFFFFFF"/>
      <name val="Arial"/>
    </font>
    <font>
      <b/>
      <sz val="11.0"/>
      <color rgb="FF000000"/>
      <name val="Arial"/>
    </font>
    <font>
      <color theme="1"/>
      <name val="Arial"/>
      <scheme val="minor"/>
    </font>
    <font>
      <sz val="11.0"/>
      <color rgb="FF000000"/>
      <name val="Arial"/>
    </font>
    <font/>
    <font>
      <b/>
      <sz val="11.0"/>
      <color rgb="FFFFFFFF"/>
      <name val="Calibri"/>
    </font>
    <font>
      <sz val="11.0"/>
      <color theme="1"/>
      <name val="Arial"/>
    </font>
    <font>
      <sz val="11.0"/>
      <color theme="1"/>
      <name val="Calibri"/>
    </font>
    <font>
      <color rgb="FFCCCCCC"/>
      <name val="Arial"/>
    </font>
    <font>
      <color rgb="FF267226"/>
      <name val="Arial"/>
    </font>
    <font>
      <b/>
      <u/>
      <sz val="12.0"/>
      <color rgb="FF000000"/>
      <name val="Carlito"/>
    </font>
    <font>
      <b/>
      <sz val="12.0"/>
      <color rgb="FF000000"/>
      <name val="Carlito"/>
    </font>
    <font>
      <sz val="11.0"/>
      <color rgb="FF000000"/>
      <name val="Carlito"/>
    </font>
    <font>
      <b/>
      <u/>
      <sz val="11.0"/>
      <color rgb="FFFFFFFF"/>
      <name val="Calibri"/>
    </font>
    <font>
      <b/>
      <sz val="11.0"/>
      <color theme="1"/>
      <name val="Calibri"/>
    </font>
    <font>
      <color rgb="FFFFFFFF"/>
      <name val="Arial"/>
      <scheme val="minor"/>
    </font>
  </fonts>
  <fills count="18">
    <fill>
      <patternFill patternType="none"/>
    </fill>
    <fill>
      <patternFill patternType="lightGray"/>
    </fill>
    <fill>
      <patternFill patternType="solid">
        <fgColor rgb="FF000000"/>
        <bgColor rgb="FF000000"/>
      </patternFill>
    </fill>
    <fill>
      <patternFill patternType="solid">
        <fgColor rgb="FFC0392B"/>
        <bgColor rgb="FFC0392B"/>
      </patternFill>
    </fill>
    <fill>
      <patternFill patternType="solid">
        <fgColor rgb="FFC00000"/>
        <bgColor rgb="FFC00000"/>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FFFF"/>
        <bgColor rgb="FFFFFFFF"/>
      </patternFill>
    </fill>
    <fill>
      <patternFill patternType="solid">
        <fgColor rgb="FFF4CCCC"/>
        <bgColor rgb="FFF4CCCC"/>
      </patternFill>
    </fill>
    <fill>
      <patternFill patternType="solid">
        <fgColor rgb="FFF2F2F2"/>
        <bgColor rgb="FFF2F2F2"/>
      </patternFill>
    </fill>
    <fill>
      <patternFill patternType="solid">
        <fgColor rgb="FFD0E0E3"/>
        <bgColor rgb="FFD0E0E3"/>
      </patternFill>
    </fill>
    <fill>
      <patternFill patternType="solid">
        <fgColor rgb="FFD9EAD3"/>
        <bgColor rgb="FFD9EAD3"/>
      </patternFill>
    </fill>
    <fill>
      <patternFill patternType="solid">
        <fgColor rgb="FFD8EAD3"/>
        <bgColor rgb="FFD8EAD3"/>
      </patternFill>
    </fill>
    <fill>
      <patternFill patternType="solid">
        <fgColor rgb="FFEA9999"/>
        <bgColor rgb="FFEA9999"/>
      </patternFill>
    </fill>
    <fill>
      <patternFill patternType="solid">
        <fgColor rgb="FFFFE599"/>
        <bgColor rgb="FFFFE599"/>
      </patternFill>
    </fill>
    <fill>
      <patternFill patternType="solid">
        <fgColor rgb="FFC9DAF8"/>
        <bgColor rgb="FFC9DAF8"/>
      </patternFill>
    </fill>
    <fill>
      <patternFill patternType="solid">
        <fgColor rgb="FF00FF00"/>
        <bgColor rgb="FF00FF00"/>
      </patternFill>
    </fill>
  </fills>
  <borders count="16">
    <border/>
    <border>
      <left style="thin">
        <color rgb="FF4285F4"/>
      </left>
      <right style="thin">
        <color rgb="FF4285F4"/>
      </right>
      <top style="thin">
        <color rgb="FF4285F4"/>
      </top>
      <bottom style="thin">
        <color rgb="FF4285F4"/>
      </bottom>
    </border>
    <border>
      <left style="thin">
        <color rgb="FF000000"/>
      </left>
      <right style="thin">
        <color rgb="FF000000"/>
      </right>
      <top style="thin">
        <color rgb="FF000000"/>
      </top>
      <bottom style="thin">
        <color rgb="FF000000"/>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right style="thin">
        <color rgb="FFBFBFBF"/>
      </right>
      <top style="thin">
        <color rgb="FFBFBFBF"/>
      </top>
      <bottom style="thin">
        <color rgb="FFBFBFBF"/>
      </bottom>
    </border>
    <border>
      <left style="thin">
        <color rgb="FF4285F4"/>
      </left>
      <top style="thin">
        <color rgb="FF4285F4"/>
      </top>
      <bottom style="thin">
        <color rgb="FF4285F4"/>
      </bottom>
    </border>
    <border>
      <top style="thin">
        <color rgb="FF4285F4"/>
      </top>
      <bottom style="thin">
        <color rgb="FF4285F4"/>
      </bottom>
    </border>
    <border>
      <right style="thin">
        <color rgb="FF4285F4"/>
      </right>
      <top style="thin">
        <color rgb="FF4285F4"/>
      </top>
      <bottom style="thin">
        <color rgb="FF4285F4"/>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44B3E1"/>
      </left>
      <top style="thin">
        <color rgb="FF44B3E1"/>
      </top>
      <bottom style="thin">
        <color rgb="FF44B3E1"/>
      </bottom>
    </border>
    <border>
      <top style="thin">
        <color rgb="FF44B3E1"/>
      </top>
      <bottom style="thin">
        <color rgb="FF44B3E1"/>
      </bottom>
    </border>
    <border>
      <right style="thin">
        <color rgb="FF44B3E1"/>
      </right>
      <top style="thin">
        <color rgb="FF44B3E1"/>
      </top>
      <bottom style="thin">
        <color rgb="FF44B3E1"/>
      </bottom>
    </border>
    <border>
      <bottom style="thin">
        <color rgb="FFD9E1F2"/>
      </bottom>
    </border>
  </borders>
  <cellStyleXfs count="1">
    <xf borderId="0" fillId="0" fontId="0" numFmtId="0" applyAlignment="1" applyFont="1"/>
  </cellStyleXfs>
  <cellXfs count="85">
    <xf borderId="0" fillId="0" fontId="0" numFmtId="0" xfId="0" applyAlignment="1" applyFont="1">
      <alignment readingOrder="0" shrinkToFit="0" vertical="bottom" wrapText="0"/>
    </xf>
    <xf borderId="1" fillId="2" fontId="1" numFmtId="0" xfId="0" applyAlignment="1" applyBorder="1" applyFill="1" applyFont="1">
      <alignment vertical="bottom"/>
    </xf>
    <xf borderId="0" fillId="0" fontId="2" numFmtId="0" xfId="0" applyAlignment="1" applyFont="1">
      <alignment horizontal="center" readingOrder="0" shrinkToFit="0" wrapText="0"/>
    </xf>
    <xf borderId="2" fillId="3" fontId="3" numFmtId="0" xfId="0" applyAlignment="1" applyBorder="1" applyFill="1" applyFont="1">
      <alignment horizontal="center" vertical="bottom"/>
    </xf>
    <xf borderId="0" fillId="0" fontId="4" numFmtId="0" xfId="0" applyAlignment="1" applyFont="1">
      <alignment horizontal="center" readingOrder="0" shrinkToFit="0" wrapText="0"/>
    </xf>
    <xf borderId="0" fillId="0" fontId="5" numFmtId="0" xfId="0" applyAlignment="1" applyFont="1">
      <alignment shrinkToFit="0" vertical="bottom" wrapText="0"/>
    </xf>
    <xf borderId="0" fillId="4" fontId="6" numFmtId="0" xfId="0" applyAlignment="1" applyFill="1" applyFont="1">
      <alignment horizontal="left" readingOrder="0" shrinkToFit="0" wrapText="0"/>
    </xf>
    <xf borderId="2" fillId="3" fontId="3" numFmtId="0" xfId="0" applyAlignment="1" applyBorder="1" applyFont="1">
      <alignment horizontal="center" readingOrder="0" vertical="bottom"/>
    </xf>
    <xf borderId="3" fillId="5" fontId="7" numFmtId="0" xfId="0" applyAlignment="1" applyBorder="1" applyFill="1" applyFont="1">
      <alignment readingOrder="0"/>
    </xf>
    <xf borderId="2" fillId="0" fontId="8" numFmtId="0" xfId="0" applyAlignment="1" applyBorder="1" applyFont="1">
      <alignment horizontal="left"/>
    </xf>
    <xf borderId="4" fillId="5" fontId="9" numFmtId="0" xfId="0" applyAlignment="1" applyBorder="1" applyFont="1">
      <alignment readingOrder="0"/>
    </xf>
    <xf borderId="5" fillId="0" fontId="10" numFmtId="0" xfId="0" applyBorder="1" applyFont="1"/>
    <xf borderId="2" fillId="6" fontId="11" numFmtId="0" xfId="0" applyAlignment="1" applyBorder="1" applyFill="1" applyFont="1">
      <alignment horizontal="center" readingOrder="0" shrinkToFit="0" vertical="bottom" wrapText="0"/>
    </xf>
    <xf borderId="2" fillId="0" fontId="12" numFmtId="0" xfId="0" applyAlignment="1" applyBorder="1" applyFont="1">
      <alignment horizontal="center" vertical="bottom"/>
    </xf>
    <xf borderId="2" fillId="0" fontId="12" numFmtId="0" xfId="0" applyAlignment="1" applyBorder="1" applyFont="1">
      <alignment vertical="bottom"/>
    </xf>
    <xf borderId="6" fillId="7" fontId="8" numFmtId="0" xfId="0" applyAlignment="1" applyBorder="1" applyFill="1" applyFont="1">
      <alignment horizontal="center" readingOrder="0"/>
    </xf>
    <xf borderId="3" fillId="8" fontId="7" numFmtId="0" xfId="0" applyAlignment="1" applyBorder="1" applyFill="1" applyFont="1">
      <alignment readingOrder="0"/>
    </xf>
    <xf borderId="7" fillId="0" fontId="10" numFmtId="0" xfId="0" applyBorder="1" applyFont="1"/>
    <xf borderId="2" fillId="0" fontId="8" numFmtId="0" xfId="0" applyAlignment="1" applyBorder="1" applyFont="1">
      <alignment readingOrder="0"/>
    </xf>
    <xf borderId="8" fillId="0" fontId="10" numFmtId="0" xfId="0" applyBorder="1" applyFont="1"/>
    <xf borderId="4" fillId="8" fontId="9" numFmtId="0" xfId="0" applyAlignment="1" applyBorder="1" applyFont="1">
      <alignment readingOrder="0"/>
    </xf>
    <xf borderId="2" fillId="0" fontId="5" numFmtId="0" xfId="0" applyAlignment="1" applyBorder="1" applyFont="1">
      <alignment readingOrder="0" shrinkToFit="0" wrapText="0"/>
    </xf>
    <xf borderId="1" fillId="5" fontId="8" numFmtId="0" xfId="0" applyAlignment="1" applyBorder="1" applyFont="1">
      <alignment horizontal="center" readingOrder="0"/>
    </xf>
    <xf borderId="3" fillId="0" fontId="3" numFmtId="0" xfId="0" applyAlignment="1" applyBorder="1" applyFont="1">
      <alignment horizontal="center" readingOrder="0" shrinkToFit="0" wrapText="0"/>
    </xf>
    <xf borderId="3" fillId="0" fontId="7" numFmtId="0" xfId="0" applyAlignment="1" applyBorder="1" applyFont="1">
      <alignment horizontal="left" readingOrder="0"/>
    </xf>
    <xf borderId="2" fillId="0" fontId="13" numFmtId="0" xfId="0" applyAlignment="1" applyBorder="1" applyFont="1">
      <alignment horizontal="center" readingOrder="0" vertical="bottom"/>
    </xf>
    <xf borderId="3" fillId="0" fontId="9" numFmtId="0" xfId="0" applyAlignment="1" applyBorder="1" applyFont="1">
      <alignment horizontal="left" readingOrder="0"/>
    </xf>
    <xf borderId="2" fillId="9" fontId="8" numFmtId="0" xfId="0" applyBorder="1" applyFill="1" applyFont="1"/>
    <xf borderId="3" fillId="10" fontId="7" numFmtId="0" xfId="0" applyAlignment="1" applyBorder="1" applyFill="1" applyFont="1">
      <alignment horizontal="left" readingOrder="0"/>
    </xf>
    <xf borderId="3" fillId="10" fontId="9" numFmtId="0" xfId="0" applyAlignment="1" applyBorder="1" applyFont="1">
      <alignment horizontal="left" readingOrder="0"/>
    </xf>
    <xf borderId="0" fillId="0" fontId="8" numFmtId="0" xfId="0" applyAlignment="1" applyFont="1">
      <alignment horizontal="left" readingOrder="0" shrinkToFit="0" vertical="center" wrapText="0"/>
    </xf>
    <xf borderId="2" fillId="11" fontId="8" numFmtId="0" xfId="0" applyBorder="1" applyFill="1" applyFont="1"/>
    <xf borderId="2" fillId="12" fontId="12" numFmtId="0" xfId="0" applyAlignment="1" applyBorder="1" applyFill="1" applyFont="1">
      <alignment horizontal="center" vertical="bottom"/>
    </xf>
    <xf borderId="2" fillId="12" fontId="12" numFmtId="0" xfId="0" applyAlignment="1" applyBorder="1" applyFont="1">
      <alignment vertical="bottom"/>
    </xf>
    <xf borderId="1" fillId="0" fontId="8" numFmtId="0" xfId="0" applyAlignment="1" applyBorder="1" applyFont="1">
      <alignment readingOrder="0" shrinkToFit="0" vertical="center" wrapText="0"/>
    </xf>
    <xf borderId="2" fillId="12" fontId="13" numFmtId="0" xfId="0" applyAlignment="1" applyBorder="1" applyFont="1">
      <alignment horizontal="center" readingOrder="0" vertical="bottom"/>
    </xf>
    <xf borderId="2" fillId="12" fontId="8" numFmtId="0" xfId="0" applyAlignment="1" applyBorder="1" applyFont="1">
      <alignment readingOrder="0"/>
    </xf>
    <xf borderId="2" fillId="12" fontId="8" numFmtId="0" xfId="0" applyBorder="1" applyFont="1"/>
    <xf borderId="1" fillId="0" fontId="14" numFmtId="0" xfId="0" applyAlignment="1" applyBorder="1" applyFont="1">
      <alignment horizontal="center" vertical="bottom"/>
    </xf>
    <xf borderId="2" fillId="0" fontId="8" numFmtId="0" xfId="0" applyBorder="1" applyFont="1"/>
    <xf borderId="2" fillId="11" fontId="12" numFmtId="0" xfId="0" applyAlignment="1" applyBorder="1" applyFont="1">
      <alignment horizontal="center" vertical="bottom"/>
    </xf>
    <xf borderId="2" fillId="11" fontId="12" numFmtId="0" xfId="0" applyAlignment="1" applyBorder="1" applyFont="1">
      <alignment vertical="bottom"/>
    </xf>
    <xf borderId="2" fillId="11" fontId="13" numFmtId="0" xfId="0" applyAlignment="1" applyBorder="1" applyFont="1">
      <alignment horizontal="center" readingOrder="0" vertical="bottom"/>
    </xf>
    <xf borderId="2" fillId="11" fontId="8" numFmtId="0" xfId="0" applyAlignment="1" applyBorder="1" applyFont="1">
      <alignment readingOrder="0"/>
    </xf>
    <xf borderId="0" fillId="0" fontId="8" numFmtId="0" xfId="0" applyFont="1"/>
    <xf borderId="1" fillId="13" fontId="15" numFmtId="0" xfId="0" applyAlignment="1" applyBorder="1" applyFill="1" applyFont="1">
      <alignment horizontal="center" vertical="bottom"/>
    </xf>
    <xf borderId="2" fillId="0" fontId="8" numFmtId="0" xfId="0" applyAlignment="1" applyBorder="1" applyFont="1">
      <alignment horizontal="left" readingOrder="0"/>
    </xf>
    <xf borderId="9" fillId="14" fontId="8" numFmtId="0" xfId="0" applyAlignment="1" applyBorder="1" applyFill="1" applyFont="1">
      <alignment horizontal="center" readingOrder="0"/>
    </xf>
    <xf borderId="10" fillId="0" fontId="10" numFmtId="0" xfId="0" applyBorder="1" applyFont="1"/>
    <xf borderId="2" fillId="9" fontId="12" numFmtId="0" xfId="0" applyAlignment="1" applyBorder="1" applyFont="1">
      <alignment horizontal="center" vertical="bottom"/>
    </xf>
    <xf borderId="11" fillId="0" fontId="10" numFmtId="0" xfId="0" applyBorder="1" applyFont="1"/>
    <xf borderId="2" fillId="9" fontId="12" numFmtId="0" xfId="0" applyAlignment="1" applyBorder="1" applyFont="1">
      <alignment vertical="bottom"/>
    </xf>
    <xf borderId="2" fillId="15" fontId="8" numFmtId="0" xfId="0" applyAlignment="1" applyBorder="1" applyFill="1" applyFont="1">
      <alignment readingOrder="0"/>
    </xf>
    <xf borderId="2" fillId="9" fontId="13" numFmtId="0" xfId="0" applyAlignment="1" applyBorder="1" applyFont="1">
      <alignment horizontal="center" readingOrder="0" vertical="bottom"/>
    </xf>
    <xf borderId="2" fillId="9" fontId="8" numFmtId="0" xfId="0" applyAlignment="1" applyBorder="1" applyFont="1">
      <alignment readingOrder="0"/>
    </xf>
    <xf borderId="2" fillId="16" fontId="12" numFmtId="0" xfId="0" applyAlignment="1" applyBorder="1" applyFill="1" applyFont="1">
      <alignment horizontal="center" readingOrder="0" vertical="bottom"/>
    </xf>
    <xf borderId="2" fillId="16" fontId="12" numFmtId="0" xfId="0" applyAlignment="1" applyBorder="1" applyFont="1">
      <alignment readingOrder="0" vertical="bottom"/>
    </xf>
    <xf borderId="2" fillId="16" fontId="13" numFmtId="0" xfId="0" applyAlignment="1" applyBorder="1" applyFont="1">
      <alignment horizontal="center" readingOrder="0" vertical="bottom"/>
    </xf>
    <xf borderId="2" fillId="16" fontId="8" numFmtId="0" xfId="0" applyAlignment="1" applyBorder="1" applyFont="1">
      <alignment readingOrder="0"/>
    </xf>
    <xf borderId="2" fillId="0" fontId="12" numFmtId="0" xfId="0" applyAlignment="1" applyBorder="1" applyFont="1">
      <alignment horizontal="center" readingOrder="0" vertical="bottom"/>
    </xf>
    <xf borderId="2" fillId="9" fontId="12" numFmtId="0" xfId="0" applyAlignment="1" applyBorder="1" applyFont="1">
      <alignment horizontal="center" readingOrder="0" vertical="bottom"/>
    </xf>
    <xf borderId="0" fillId="17" fontId="8" numFmtId="0" xfId="0" applyAlignment="1" applyFill="1" applyFont="1">
      <alignment horizontal="center" readingOrder="0"/>
    </xf>
    <xf borderId="0" fillId="12" fontId="8" numFmtId="0" xfId="0" applyAlignment="1" applyFont="1">
      <alignment horizontal="center" readingOrder="0"/>
    </xf>
    <xf borderId="2" fillId="11" fontId="12" numFmtId="0" xfId="0" applyAlignment="1" applyBorder="1" applyFont="1">
      <alignment horizontal="center" readingOrder="0" vertical="bottom"/>
    </xf>
    <xf borderId="2" fillId="12" fontId="12" numFmtId="0" xfId="0" applyAlignment="1" applyBorder="1" applyFont="1">
      <alignment horizontal="center" readingOrder="0" vertical="bottom"/>
    </xf>
    <xf borderId="2" fillId="11" fontId="8" numFmtId="164" xfId="0" applyAlignment="1" applyBorder="1" applyFont="1" applyNumberFormat="1">
      <alignment readingOrder="0"/>
    </xf>
    <xf borderId="0" fillId="0" fontId="8" numFmtId="0" xfId="0" applyAlignment="1" applyFont="1">
      <alignment readingOrder="0"/>
    </xf>
    <xf borderId="12" fillId="8" fontId="16" numFmtId="0" xfId="0" applyAlignment="1" applyBorder="1" applyFont="1">
      <alignment horizontal="center" readingOrder="0" shrinkToFit="0" wrapText="0"/>
    </xf>
    <xf borderId="13" fillId="8" fontId="17" numFmtId="0" xfId="0" applyAlignment="1" applyBorder="1" applyFont="1">
      <alignment horizontal="center" readingOrder="0" shrinkToFit="0" wrapText="0"/>
    </xf>
    <xf borderId="14" fillId="8" fontId="17" numFmtId="0" xfId="0" applyAlignment="1" applyBorder="1" applyFont="1">
      <alignment horizontal="center" readingOrder="0" shrinkToFit="0" wrapText="0"/>
    </xf>
    <xf borderId="12" fillId="8" fontId="18" numFmtId="0" xfId="0" applyAlignment="1" applyBorder="1" applyFont="1">
      <alignment horizontal="center" readingOrder="0" shrinkToFit="0" wrapText="0"/>
    </xf>
    <xf borderId="13" fillId="8" fontId="18" numFmtId="0" xfId="0" applyAlignment="1" applyBorder="1" applyFont="1">
      <alignment readingOrder="0" shrinkToFit="0" wrapText="0"/>
    </xf>
    <xf borderId="14" fillId="8" fontId="18" numFmtId="0" xfId="0" applyAlignment="1" applyBorder="1" applyFont="1">
      <alignment horizontal="center" readingOrder="0" shrinkToFit="0" wrapText="0"/>
    </xf>
    <xf borderId="0" fillId="6" fontId="19" numFmtId="0" xfId="0" applyAlignment="1" applyFont="1">
      <alignment horizontal="center" readingOrder="0" shrinkToFit="0" vertical="bottom" wrapText="0"/>
    </xf>
    <xf borderId="0" fillId="6" fontId="11" numFmtId="0" xfId="0" applyAlignment="1" applyFont="1">
      <alignment horizontal="center" readingOrder="0" shrinkToFit="0" vertical="bottom" wrapText="0"/>
    </xf>
    <xf borderId="15" fillId="0" fontId="5" numFmtId="0" xfId="0" applyAlignment="1" applyBorder="1" applyFont="1">
      <alignment horizontal="right" readingOrder="0" shrinkToFit="0" wrapText="0"/>
    </xf>
    <xf borderId="15" fillId="0" fontId="5" numFmtId="0" xfId="0" applyAlignment="1" applyBorder="1" applyFont="1">
      <alignment readingOrder="0" shrinkToFit="0" wrapText="0"/>
    </xf>
    <xf borderId="2" fillId="0" fontId="12" numFmtId="0" xfId="0" applyAlignment="1" applyBorder="1" applyFont="1">
      <alignment readingOrder="0" vertical="bottom"/>
    </xf>
    <xf borderId="2" fillId="8" fontId="12" numFmtId="0" xfId="0" applyAlignment="1" applyBorder="1" applyFont="1">
      <alignment horizontal="center" vertical="bottom"/>
    </xf>
    <xf borderId="0" fillId="0" fontId="8" numFmtId="0" xfId="0" applyAlignment="1" applyFont="1">
      <alignment horizontal="center"/>
    </xf>
    <xf borderId="0" fillId="0" fontId="8" numFmtId="0" xfId="0" applyAlignment="1" applyFont="1">
      <alignment horizontal="left"/>
    </xf>
    <xf borderId="0" fillId="8" fontId="8" numFmtId="0" xfId="0" applyFont="1"/>
    <xf borderId="0" fillId="0" fontId="20" numFmtId="0" xfId="0" applyAlignment="1" applyFont="1">
      <alignment readingOrder="0" shrinkToFit="0" vertical="bottom" wrapText="0"/>
    </xf>
    <xf borderId="0" fillId="0" fontId="5" numFmtId="0" xfId="0" applyAlignment="1" applyFont="1">
      <alignment readingOrder="0" shrinkToFit="0" vertical="bottom" wrapText="0"/>
    </xf>
    <xf borderId="0" fillId="8" fontId="21" numFmtId="0" xfId="0" applyFont="1"/>
  </cellXfs>
  <cellStyles count="1">
    <cellStyle xfId="0" name="Normal" builtinId="0"/>
  </cellStyles>
  <dxfs count="11">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D9EAD2"/>
          <bgColor rgb="FFD9EAD2"/>
        </patternFill>
      </fill>
      <border/>
    </dxf>
    <dxf>
      <font/>
      <fill>
        <patternFill patternType="solid">
          <fgColor rgb="FFCFE1F3"/>
          <bgColor rgb="FFCFE1F3"/>
        </patternFill>
      </fill>
      <border/>
    </dxf>
    <dxf>
      <font/>
      <fill>
        <patternFill patternType="solid">
          <fgColor rgb="FFD0DFE2"/>
          <bgColor rgb="FFD0DFE2"/>
        </patternFill>
      </fill>
      <border/>
    </dxf>
    <dxf>
      <font/>
      <fill>
        <patternFill patternType="solid">
          <fgColor rgb="FFD9D2E9"/>
          <bgColor rgb="FFD9D2E9"/>
        </patternFill>
      </fill>
      <border/>
    </dxf>
    <dxf>
      <font/>
      <fill>
        <patternFill patternType="solid">
          <fgColor rgb="FFF4CCCC"/>
          <bgColor rgb="FFF4CCCC"/>
        </patternFill>
      </fill>
      <border/>
    </dxf>
    <dxf>
      <font/>
      <fill>
        <patternFill patternType="solid">
          <fgColor rgb="FFFFF1CC"/>
          <bgColor rgb="FFFFF1CC"/>
        </patternFill>
      </fill>
      <border/>
    </dxf>
  </dxfs>
  <tableStyles count="1">
    <tableStyle count="4" pivot="0" name="Story champion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3:F29" displayName="Champion_Tier_List" name="Champion_Tier_List" id="1">
  <tableColumns count="6">
    <tableColumn name="Best Cosmic" id="1"/>
    <tableColumn name="Best Mystic" id="2"/>
    <tableColumn name="Best Mutant" id="3"/>
    <tableColumn name="Best Science" id="4"/>
    <tableColumn name="Best Skill" id="5"/>
    <tableColumn name="Best Tech" id="6"/>
  </tableColumns>
  <tableStyleInfo name="Story champion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0"/>
  </cols>
  <sheetData>
    <row r="1">
      <c r="A1" s="1" t="s">
        <v>0</v>
      </c>
      <c r="B1" s="1" t="str">
        <f t="array" ref="B1:AR1">TRANSPOSE(Main!A2:A44)</f>
        <v>Ability Accuracy Reduction Immunity</v>
      </c>
      <c r="C1" s="1" t="s">
        <v>9</v>
      </c>
      <c r="D1" s="1" t="s">
        <v>10</v>
      </c>
      <c r="E1" s="1" t="s">
        <v>12</v>
      </c>
      <c r="F1" s="1" t="s">
        <v>15</v>
      </c>
      <c r="G1" s="1" t="s">
        <v>16</v>
      </c>
      <c r="H1" s="1" t="s">
        <v>17</v>
      </c>
      <c r="I1" s="1" t="s">
        <v>19</v>
      </c>
      <c r="J1" s="1" t="s">
        <v>21</v>
      </c>
      <c r="K1" s="1" t="s">
        <v>22</v>
      </c>
      <c r="L1" s="1" t="s">
        <v>23</v>
      </c>
      <c r="M1" s="1" t="s">
        <v>25</v>
      </c>
      <c r="N1" s="1" t="s">
        <v>27</v>
      </c>
      <c r="O1" s="1" t="s">
        <v>30</v>
      </c>
      <c r="P1" s="1" t="s">
        <v>31</v>
      </c>
      <c r="Q1" s="1" t="s">
        <v>32</v>
      </c>
      <c r="R1" s="1" t="s">
        <v>33</v>
      </c>
      <c r="S1" s="1" t="s">
        <v>35</v>
      </c>
      <c r="T1" s="1" t="s">
        <v>36</v>
      </c>
      <c r="U1" s="1" t="s">
        <v>37</v>
      </c>
      <c r="V1" s="1" t="s">
        <v>38</v>
      </c>
      <c r="W1" s="1" t="s">
        <v>39</v>
      </c>
      <c r="X1" s="1" t="s">
        <v>40</v>
      </c>
      <c r="Y1" s="1" t="s">
        <v>41</v>
      </c>
      <c r="Z1" s="1" t="s">
        <v>42</v>
      </c>
      <c r="AA1" s="1" t="s">
        <v>44</v>
      </c>
      <c r="AB1" s="1" t="s">
        <v>46</v>
      </c>
      <c r="AC1" s="1" t="s">
        <v>47</v>
      </c>
      <c r="AD1" s="1" t="s">
        <v>49</v>
      </c>
      <c r="AE1" s="1" t="s">
        <v>51</v>
      </c>
      <c r="AF1" s="1" t="s">
        <v>53</v>
      </c>
      <c r="AG1" s="1" t="s">
        <v>54</v>
      </c>
      <c r="AH1" s="1" t="s">
        <v>56</v>
      </c>
      <c r="AI1" s="1" t="s">
        <v>57</v>
      </c>
      <c r="AJ1" s="1" t="s">
        <v>58</v>
      </c>
      <c r="AK1" s="1" t="s">
        <v>59</v>
      </c>
      <c r="AL1" s="1" t="s">
        <v>60</v>
      </c>
      <c r="AM1" s="1" t="s">
        <v>61</v>
      </c>
      <c r="AN1" s="1" t="s">
        <v>62</v>
      </c>
      <c r="AO1" s="1" t="s">
        <v>63</v>
      </c>
      <c r="AP1" s="1" t="s">
        <v>64</v>
      </c>
      <c r="AQ1" s="1" t="s">
        <v>65</v>
      </c>
      <c r="AR1" s="1" t="s">
        <v>67</v>
      </c>
    </row>
    <row r="2">
      <c r="A2" s="1" t="str">
        <f>IFERROR(__xludf.DUMMYFUNCTION("LET(raw, TEXTJOIN("","", TRUE, Main!D2:D44), arr, SPLIT(raw, "","", FALSE, TRUE), unq, SORT(UNIQUE(TRIM(FLATTEN(arr)))), FILTER(unq, unq&lt;&gt;""""))"),"Abomination")</f>
        <v>Abomination</v>
      </c>
      <c r="B2" s="38" t="str">
        <f t="array" ref="B2:AR197">IFERROR(MAKEARRAY(COUNTA(A2:A1000), COUNTA(B1:AR1), LAMBDA(r, c, IF(ISNUMBER(SEARCH("," &amp; INDEX(A2:A1000, r) &amp; ",", "," &amp; SUBSTITUTE(VLOOKUP(INDEX(B1:AR1, c), Main!$A$2:$D$44, 4, FALSE), ", ", ",") &amp; ",")), "Yes", "No"))), "")</f>
        <v>No</v>
      </c>
      <c r="C2" s="38" t="s">
        <v>151</v>
      </c>
      <c r="D2" s="38" t="s">
        <v>151</v>
      </c>
      <c r="E2" s="38" t="s">
        <v>151</v>
      </c>
      <c r="F2" s="38" t="s">
        <v>151</v>
      </c>
      <c r="G2" s="38" t="s">
        <v>151</v>
      </c>
      <c r="H2" s="38" t="s">
        <v>151</v>
      </c>
      <c r="I2" s="38" t="s">
        <v>151</v>
      </c>
      <c r="J2" s="38" t="s">
        <v>151</v>
      </c>
      <c r="K2" s="38" t="s">
        <v>151</v>
      </c>
      <c r="L2" s="38" t="s">
        <v>151</v>
      </c>
      <c r="M2" s="38" t="s">
        <v>151</v>
      </c>
      <c r="N2" s="38" t="s">
        <v>151</v>
      </c>
      <c r="O2" s="38" t="s">
        <v>151</v>
      </c>
      <c r="P2" s="38" t="s">
        <v>151</v>
      </c>
      <c r="Q2" s="38" t="s">
        <v>151</v>
      </c>
      <c r="R2" s="38" t="s">
        <v>151</v>
      </c>
      <c r="S2" s="38" t="s">
        <v>151</v>
      </c>
      <c r="T2" s="38" t="s">
        <v>151</v>
      </c>
      <c r="U2" s="38" t="s">
        <v>151</v>
      </c>
      <c r="V2" s="38" t="s">
        <v>151</v>
      </c>
      <c r="W2" s="38" t="s">
        <v>151</v>
      </c>
      <c r="X2" s="38" t="s">
        <v>151</v>
      </c>
      <c r="Y2" s="38" t="s">
        <v>151</v>
      </c>
      <c r="Z2" s="38" t="s">
        <v>151</v>
      </c>
      <c r="AA2" s="38" t="s">
        <v>151</v>
      </c>
      <c r="AB2" s="45" t="s">
        <v>190</v>
      </c>
      <c r="AC2" s="38" t="s">
        <v>151</v>
      </c>
      <c r="AD2" s="38" t="s">
        <v>151</v>
      </c>
      <c r="AE2" s="38" t="s">
        <v>151</v>
      </c>
      <c r="AF2" s="38" t="s">
        <v>151</v>
      </c>
      <c r="AG2" s="38" t="s">
        <v>151</v>
      </c>
      <c r="AH2" s="38" t="s">
        <v>151</v>
      </c>
      <c r="AI2" s="38" t="s">
        <v>151</v>
      </c>
      <c r="AJ2" s="38" t="s">
        <v>151</v>
      </c>
      <c r="AK2" s="38" t="s">
        <v>151</v>
      </c>
      <c r="AL2" s="38" t="s">
        <v>151</v>
      </c>
      <c r="AM2" s="38" t="s">
        <v>151</v>
      </c>
      <c r="AN2" s="38" t="s">
        <v>151</v>
      </c>
      <c r="AO2" s="38" t="s">
        <v>151</v>
      </c>
      <c r="AP2" s="38" t="s">
        <v>151</v>
      </c>
      <c r="AQ2" s="38" t="s">
        <v>151</v>
      </c>
      <c r="AR2" s="38" t="s">
        <v>151</v>
      </c>
    </row>
    <row r="3">
      <c r="A3" s="1" t="str">
        <f>IFERROR(__xludf.DUMMYFUNCTION("""COMPUTED_VALUE"""),"Abomination (Immortal)")</f>
        <v>Abomination (Immortal)</v>
      </c>
      <c r="B3" s="38" t="s">
        <v>151</v>
      </c>
      <c r="C3" s="38" t="s">
        <v>151</v>
      </c>
      <c r="D3" s="38" t="s">
        <v>151</v>
      </c>
      <c r="E3" s="38" t="s">
        <v>151</v>
      </c>
      <c r="F3" s="38" t="s">
        <v>151</v>
      </c>
      <c r="G3" s="38" t="s">
        <v>151</v>
      </c>
      <c r="H3" s="38" t="s">
        <v>151</v>
      </c>
      <c r="I3" s="38" t="s">
        <v>151</v>
      </c>
      <c r="J3" s="38" t="s">
        <v>151</v>
      </c>
      <c r="K3" s="38" t="s">
        <v>151</v>
      </c>
      <c r="L3" s="38" t="s">
        <v>151</v>
      </c>
      <c r="M3" s="38" t="s">
        <v>151</v>
      </c>
      <c r="N3" s="38" t="s">
        <v>151</v>
      </c>
      <c r="O3" s="38" t="s">
        <v>151</v>
      </c>
      <c r="P3" s="38" t="s">
        <v>151</v>
      </c>
      <c r="Q3" s="38" t="s">
        <v>151</v>
      </c>
      <c r="R3" s="38" t="s">
        <v>151</v>
      </c>
      <c r="S3" s="38" t="s">
        <v>151</v>
      </c>
      <c r="T3" s="38" t="s">
        <v>151</v>
      </c>
      <c r="U3" s="38" t="s">
        <v>151</v>
      </c>
      <c r="V3" s="38" t="s">
        <v>151</v>
      </c>
      <c r="W3" s="38" t="s">
        <v>151</v>
      </c>
      <c r="X3" s="38" t="s">
        <v>151</v>
      </c>
      <c r="Y3" s="38" t="s">
        <v>151</v>
      </c>
      <c r="Z3" s="38" t="s">
        <v>151</v>
      </c>
      <c r="AA3" s="38" t="s">
        <v>151</v>
      </c>
      <c r="AB3" s="45" t="s">
        <v>190</v>
      </c>
      <c r="AC3" s="38" t="s">
        <v>151</v>
      </c>
      <c r="AD3" s="38" t="s">
        <v>151</v>
      </c>
      <c r="AE3" s="38" t="s">
        <v>151</v>
      </c>
      <c r="AF3" s="38" t="s">
        <v>151</v>
      </c>
      <c r="AG3" s="38" t="s">
        <v>151</v>
      </c>
      <c r="AH3" s="38" t="s">
        <v>151</v>
      </c>
      <c r="AI3" s="38" t="s">
        <v>151</v>
      </c>
      <c r="AJ3" s="38" t="s">
        <v>151</v>
      </c>
      <c r="AK3" s="38" t="s">
        <v>151</v>
      </c>
      <c r="AL3" s="38" t="s">
        <v>151</v>
      </c>
      <c r="AM3" s="38" t="s">
        <v>151</v>
      </c>
      <c r="AN3" s="38" t="s">
        <v>151</v>
      </c>
      <c r="AO3" s="38" t="s">
        <v>151</v>
      </c>
      <c r="AP3" s="38" t="s">
        <v>151</v>
      </c>
      <c r="AQ3" s="38" t="s">
        <v>151</v>
      </c>
      <c r="AR3" s="38" t="s">
        <v>151</v>
      </c>
    </row>
    <row r="4">
      <c r="A4" s="1" t="str">
        <f>IFERROR(__xludf.DUMMYFUNCTION("""COMPUTED_VALUE"""),"Absorbing Man")</f>
        <v>Absorbing Man</v>
      </c>
      <c r="B4" s="38" t="s">
        <v>151</v>
      </c>
      <c r="C4" s="45" t="s">
        <v>190</v>
      </c>
      <c r="D4" s="45" t="s">
        <v>190</v>
      </c>
      <c r="E4" s="38" t="s">
        <v>151</v>
      </c>
      <c r="F4" s="45" t="s">
        <v>190</v>
      </c>
      <c r="G4" s="38" t="s">
        <v>151</v>
      </c>
      <c r="H4" s="45" t="s">
        <v>190</v>
      </c>
      <c r="I4" s="38" t="s">
        <v>151</v>
      </c>
      <c r="J4" s="38" t="s">
        <v>151</v>
      </c>
      <c r="K4" s="38" t="s">
        <v>151</v>
      </c>
      <c r="L4" s="38" t="s">
        <v>151</v>
      </c>
      <c r="M4" s="38" t="s">
        <v>151</v>
      </c>
      <c r="N4" s="38" t="s">
        <v>151</v>
      </c>
      <c r="O4" s="38" t="s">
        <v>151</v>
      </c>
      <c r="P4" s="38" t="s">
        <v>151</v>
      </c>
      <c r="Q4" s="38" t="s">
        <v>151</v>
      </c>
      <c r="R4" s="45" t="s">
        <v>190</v>
      </c>
      <c r="S4" s="38" t="s">
        <v>151</v>
      </c>
      <c r="T4" s="45" t="s">
        <v>190</v>
      </c>
      <c r="U4" s="38" t="s">
        <v>151</v>
      </c>
      <c r="V4" s="38" t="s">
        <v>151</v>
      </c>
      <c r="W4" s="38" t="s">
        <v>151</v>
      </c>
      <c r="X4" s="38" t="s">
        <v>151</v>
      </c>
      <c r="Y4" s="38" t="s">
        <v>151</v>
      </c>
      <c r="Z4" s="38" t="s">
        <v>151</v>
      </c>
      <c r="AA4" s="38" t="s">
        <v>151</v>
      </c>
      <c r="AB4" s="45" t="s">
        <v>190</v>
      </c>
      <c r="AC4" s="38" t="s">
        <v>151</v>
      </c>
      <c r="AD4" s="38" t="s">
        <v>151</v>
      </c>
      <c r="AE4" s="38" t="s">
        <v>151</v>
      </c>
      <c r="AF4" s="38" t="s">
        <v>151</v>
      </c>
      <c r="AG4" s="38" t="s">
        <v>151</v>
      </c>
      <c r="AH4" s="38" t="s">
        <v>151</v>
      </c>
      <c r="AI4" s="38" t="s">
        <v>151</v>
      </c>
      <c r="AJ4" s="38" t="s">
        <v>151</v>
      </c>
      <c r="AK4" s="45" t="s">
        <v>190</v>
      </c>
      <c r="AL4" s="38" t="s">
        <v>151</v>
      </c>
      <c r="AM4" s="38" t="s">
        <v>151</v>
      </c>
      <c r="AN4" s="38" t="s">
        <v>151</v>
      </c>
      <c r="AO4" s="38" t="s">
        <v>151</v>
      </c>
      <c r="AP4" s="38" t="s">
        <v>151</v>
      </c>
      <c r="AQ4" s="38" t="s">
        <v>151</v>
      </c>
      <c r="AR4" s="38" t="s">
        <v>151</v>
      </c>
    </row>
    <row r="5">
      <c r="A5" s="1" t="str">
        <f>IFERROR(__xludf.DUMMYFUNCTION("""COMPUTED_VALUE"""),"Air-Walker")</f>
        <v>Air-Walker</v>
      </c>
      <c r="B5" s="38" t="s">
        <v>151</v>
      </c>
      <c r="C5" s="38" t="s">
        <v>151</v>
      </c>
      <c r="D5" s="38" t="s">
        <v>151</v>
      </c>
      <c r="E5" s="38" t="s">
        <v>151</v>
      </c>
      <c r="F5" s="38" t="s">
        <v>151</v>
      </c>
      <c r="G5" s="38" t="s">
        <v>151</v>
      </c>
      <c r="H5" s="38" t="s">
        <v>151</v>
      </c>
      <c r="I5" s="38" t="s">
        <v>151</v>
      </c>
      <c r="J5" s="38" t="s">
        <v>151</v>
      </c>
      <c r="K5" s="38" t="s">
        <v>151</v>
      </c>
      <c r="L5" s="38" t="s">
        <v>151</v>
      </c>
      <c r="M5" s="38" t="s">
        <v>151</v>
      </c>
      <c r="N5" s="38" t="s">
        <v>151</v>
      </c>
      <c r="O5" s="38" t="s">
        <v>151</v>
      </c>
      <c r="P5" s="38" t="s">
        <v>151</v>
      </c>
      <c r="Q5" s="38" t="s">
        <v>151</v>
      </c>
      <c r="R5" s="38" t="s">
        <v>151</v>
      </c>
      <c r="S5" s="38" t="s">
        <v>151</v>
      </c>
      <c r="T5" s="38" t="s">
        <v>151</v>
      </c>
      <c r="U5" s="38" t="s">
        <v>151</v>
      </c>
      <c r="V5" s="38" t="s">
        <v>151</v>
      </c>
      <c r="W5" s="38" t="s">
        <v>151</v>
      </c>
      <c r="X5" s="38" t="s">
        <v>151</v>
      </c>
      <c r="Y5" s="38" t="s">
        <v>151</v>
      </c>
      <c r="Z5" s="38" t="s">
        <v>151</v>
      </c>
      <c r="AA5" s="38" t="s">
        <v>151</v>
      </c>
      <c r="AB5" s="38" t="s">
        <v>151</v>
      </c>
      <c r="AC5" s="38" t="s">
        <v>151</v>
      </c>
      <c r="AD5" s="38" t="s">
        <v>151</v>
      </c>
      <c r="AE5" s="38" t="s">
        <v>151</v>
      </c>
      <c r="AF5" s="38" t="s">
        <v>151</v>
      </c>
      <c r="AG5" s="38" t="s">
        <v>151</v>
      </c>
      <c r="AH5" s="38" t="s">
        <v>151</v>
      </c>
      <c r="AI5" s="38" t="s">
        <v>151</v>
      </c>
      <c r="AJ5" s="38" t="s">
        <v>151</v>
      </c>
      <c r="AK5" s="38" t="s">
        <v>151</v>
      </c>
      <c r="AL5" s="38" t="s">
        <v>151</v>
      </c>
      <c r="AM5" s="38" t="s">
        <v>151</v>
      </c>
      <c r="AN5" s="38" t="s">
        <v>151</v>
      </c>
      <c r="AO5" s="38" t="s">
        <v>151</v>
      </c>
      <c r="AP5" s="45" t="s">
        <v>190</v>
      </c>
      <c r="AQ5" s="38" t="s">
        <v>151</v>
      </c>
      <c r="AR5" s="38" t="s">
        <v>151</v>
      </c>
    </row>
    <row r="6">
      <c r="A6" s="1" t="str">
        <f>IFERROR(__xludf.DUMMYFUNCTION("""COMPUTED_VALUE"""),"Ant-Man")</f>
        <v>Ant-Man</v>
      </c>
      <c r="B6" s="38" t="s">
        <v>151</v>
      </c>
      <c r="C6" s="38" t="s">
        <v>151</v>
      </c>
      <c r="D6" s="38" t="s">
        <v>151</v>
      </c>
      <c r="E6" s="38" t="s">
        <v>151</v>
      </c>
      <c r="F6" s="38" t="s">
        <v>151</v>
      </c>
      <c r="G6" s="45" t="s">
        <v>190</v>
      </c>
      <c r="H6" s="38" t="s">
        <v>151</v>
      </c>
      <c r="I6" s="38" t="s">
        <v>151</v>
      </c>
      <c r="J6" s="38" t="s">
        <v>151</v>
      </c>
      <c r="K6" s="38" t="s">
        <v>151</v>
      </c>
      <c r="L6" s="38" t="s">
        <v>151</v>
      </c>
      <c r="M6" s="38" t="s">
        <v>151</v>
      </c>
      <c r="N6" s="38" t="s">
        <v>151</v>
      </c>
      <c r="O6" s="38" t="s">
        <v>151</v>
      </c>
      <c r="P6" s="38" t="s">
        <v>151</v>
      </c>
      <c r="Q6" s="38" t="s">
        <v>151</v>
      </c>
      <c r="R6" s="38" t="s">
        <v>151</v>
      </c>
      <c r="S6" s="38" t="s">
        <v>151</v>
      </c>
      <c r="T6" s="38" t="s">
        <v>151</v>
      </c>
      <c r="U6" s="38" t="s">
        <v>151</v>
      </c>
      <c r="V6" s="38" t="s">
        <v>151</v>
      </c>
      <c r="W6" s="38" t="s">
        <v>151</v>
      </c>
      <c r="X6" s="38" t="s">
        <v>151</v>
      </c>
      <c r="Y6" s="38" t="s">
        <v>151</v>
      </c>
      <c r="Z6" s="38" t="s">
        <v>151</v>
      </c>
      <c r="AA6" s="38" t="s">
        <v>151</v>
      </c>
      <c r="AB6" s="45" t="s">
        <v>190</v>
      </c>
      <c r="AC6" s="38" t="s">
        <v>151</v>
      </c>
      <c r="AD6" s="38" t="s">
        <v>151</v>
      </c>
      <c r="AE6" s="38" t="s">
        <v>151</v>
      </c>
      <c r="AF6" s="38" t="s">
        <v>151</v>
      </c>
      <c r="AG6" s="38" t="s">
        <v>151</v>
      </c>
      <c r="AH6" s="38" t="s">
        <v>151</v>
      </c>
      <c r="AI6" s="38" t="s">
        <v>151</v>
      </c>
      <c r="AJ6" s="38" t="s">
        <v>151</v>
      </c>
      <c r="AK6" s="45" t="s">
        <v>190</v>
      </c>
      <c r="AL6" s="38" t="s">
        <v>151</v>
      </c>
      <c r="AM6" s="38" t="s">
        <v>151</v>
      </c>
      <c r="AN6" s="38" t="s">
        <v>151</v>
      </c>
      <c r="AO6" s="38" t="s">
        <v>151</v>
      </c>
      <c r="AP6" s="38" t="s">
        <v>151</v>
      </c>
      <c r="AQ6" s="38" t="s">
        <v>151</v>
      </c>
      <c r="AR6" s="38" t="s">
        <v>151</v>
      </c>
    </row>
    <row r="7">
      <c r="A7" s="1" t="str">
        <f>IFERROR(__xludf.DUMMYFUNCTION("""COMPUTED_VALUE"""),"Anti-Venom")</f>
        <v>Anti-Venom</v>
      </c>
      <c r="B7" s="38" t="s">
        <v>151</v>
      </c>
      <c r="C7" s="38" t="s">
        <v>151</v>
      </c>
      <c r="D7" s="38" t="s">
        <v>151</v>
      </c>
      <c r="E7" s="38" t="s">
        <v>151</v>
      </c>
      <c r="F7" s="38" t="s">
        <v>151</v>
      </c>
      <c r="G7" s="38" t="s">
        <v>151</v>
      </c>
      <c r="H7" s="38" t="s">
        <v>151</v>
      </c>
      <c r="I7" s="38" t="s">
        <v>151</v>
      </c>
      <c r="J7" s="38" t="s">
        <v>151</v>
      </c>
      <c r="K7" s="38" t="s">
        <v>151</v>
      </c>
      <c r="L7" s="38" t="s">
        <v>151</v>
      </c>
      <c r="M7" s="38" t="s">
        <v>151</v>
      </c>
      <c r="N7" s="38" t="s">
        <v>151</v>
      </c>
      <c r="O7" s="38" t="s">
        <v>151</v>
      </c>
      <c r="P7" s="38" t="s">
        <v>151</v>
      </c>
      <c r="Q7" s="38" t="s">
        <v>151</v>
      </c>
      <c r="R7" s="38" t="s">
        <v>151</v>
      </c>
      <c r="S7" s="38" t="s">
        <v>151</v>
      </c>
      <c r="T7" s="45" t="s">
        <v>190</v>
      </c>
      <c r="U7" s="38" t="s">
        <v>151</v>
      </c>
      <c r="V7" s="38" t="s">
        <v>151</v>
      </c>
      <c r="W7" s="38" t="s">
        <v>151</v>
      </c>
      <c r="X7" s="38" t="s">
        <v>151</v>
      </c>
      <c r="Y7" s="38" t="s">
        <v>151</v>
      </c>
      <c r="Z7" s="38" t="s">
        <v>151</v>
      </c>
      <c r="AA7" s="38" t="s">
        <v>151</v>
      </c>
      <c r="AB7" s="45" t="s">
        <v>190</v>
      </c>
      <c r="AC7" s="38" t="s">
        <v>151</v>
      </c>
      <c r="AD7" s="38" t="s">
        <v>151</v>
      </c>
      <c r="AE7" s="38" t="s">
        <v>151</v>
      </c>
      <c r="AF7" s="38" t="s">
        <v>151</v>
      </c>
      <c r="AG7" s="38" t="s">
        <v>151</v>
      </c>
      <c r="AH7" s="38" t="s">
        <v>151</v>
      </c>
      <c r="AI7" s="38" t="s">
        <v>151</v>
      </c>
      <c r="AJ7" s="38" t="s">
        <v>151</v>
      </c>
      <c r="AK7" s="38" t="s">
        <v>151</v>
      </c>
      <c r="AL7" s="38" t="s">
        <v>151</v>
      </c>
      <c r="AM7" s="38" t="s">
        <v>151</v>
      </c>
      <c r="AN7" s="38" t="s">
        <v>151</v>
      </c>
      <c r="AO7" s="38" t="s">
        <v>151</v>
      </c>
      <c r="AP7" s="38" t="s">
        <v>151</v>
      </c>
      <c r="AQ7" s="38" t="s">
        <v>151</v>
      </c>
      <c r="AR7" s="38" t="s">
        <v>151</v>
      </c>
    </row>
    <row r="8">
      <c r="A8" s="1" t="str">
        <f>IFERROR(__xludf.DUMMYFUNCTION("""COMPUTED_VALUE"""),"Apocalypse")</f>
        <v>Apocalypse</v>
      </c>
      <c r="B8" s="38" t="s">
        <v>151</v>
      </c>
      <c r="C8" s="38" t="s">
        <v>151</v>
      </c>
      <c r="D8" s="38" t="s">
        <v>151</v>
      </c>
      <c r="E8" s="38" t="s">
        <v>151</v>
      </c>
      <c r="F8" s="45" t="s">
        <v>190</v>
      </c>
      <c r="G8" s="38" t="s">
        <v>151</v>
      </c>
      <c r="H8" s="38" t="s">
        <v>151</v>
      </c>
      <c r="I8" s="38" t="s">
        <v>151</v>
      </c>
      <c r="J8" s="38" t="s">
        <v>151</v>
      </c>
      <c r="K8" s="38" t="s">
        <v>151</v>
      </c>
      <c r="L8" s="38" t="s">
        <v>151</v>
      </c>
      <c r="M8" s="38" t="s">
        <v>151</v>
      </c>
      <c r="N8" s="45" t="s">
        <v>190</v>
      </c>
      <c r="O8" s="38" t="s">
        <v>151</v>
      </c>
      <c r="P8" s="38" t="s">
        <v>151</v>
      </c>
      <c r="Q8" s="38" t="s">
        <v>151</v>
      </c>
      <c r="R8" s="38" t="s">
        <v>151</v>
      </c>
      <c r="S8" s="38" t="s">
        <v>151</v>
      </c>
      <c r="T8" s="45" t="s">
        <v>190</v>
      </c>
      <c r="U8" s="38" t="s">
        <v>151</v>
      </c>
      <c r="V8" s="38" t="s">
        <v>151</v>
      </c>
      <c r="W8" s="38" t="s">
        <v>151</v>
      </c>
      <c r="X8" s="38" t="s">
        <v>151</v>
      </c>
      <c r="Y8" s="38" t="s">
        <v>151</v>
      </c>
      <c r="Z8" s="38" t="s">
        <v>151</v>
      </c>
      <c r="AA8" s="38" t="s">
        <v>151</v>
      </c>
      <c r="AB8" s="38" t="s">
        <v>151</v>
      </c>
      <c r="AC8" s="38" t="s">
        <v>151</v>
      </c>
      <c r="AD8" s="38" t="s">
        <v>151</v>
      </c>
      <c r="AE8" s="38" t="s">
        <v>151</v>
      </c>
      <c r="AF8" s="38" t="s">
        <v>151</v>
      </c>
      <c r="AG8" s="38" t="s">
        <v>151</v>
      </c>
      <c r="AH8" s="38" t="s">
        <v>151</v>
      </c>
      <c r="AI8" s="38" t="s">
        <v>151</v>
      </c>
      <c r="AJ8" s="38" t="s">
        <v>151</v>
      </c>
      <c r="AK8" s="38" t="s">
        <v>151</v>
      </c>
      <c r="AL8" s="38" t="s">
        <v>151</v>
      </c>
      <c r="AM8" s="38" t="s">
        <v>151</v>
      </c>
      <c r="AN8" s="38" t="s">
        <v>151</v>
      </c>
      <c r="AO8" s="38" t="s">
        <v>151</v>
      </c>
      <c r="AP8" s="38" t="s">
        <v>151</v>
      </c>
      <c r="AQ8" s="38" t="s">
        <v>151</v>
      </c>
      <c r="AR8" s="38" t="s">
        <v>151</v>
      </c>
    </row>
    <row r="9">
      <c r="A9" s="1" t="str">
        <f>IFERROR(__xludf.DUMMYFUNCTION("""COMPUTED_VALUE"""),"Arcade")</f>
        <v>Arcade</v>
      </c>
      <c r="B9" s="38" t="s">
        <v>151</v>
      </c>
      <c r="C9" s="38" t="s">
        <v>151</v>
      </c>
      <c r="D9" s="38" t="s">
        <v>151</v>
      </c>
      <c r="E9" s="38" t="s">
        <v>151</v>
      </c>
      <c r="F9" s="45" t="s">
        <v>190</v>
      </c>
      <c r="G9" s="38" t="s">
        <v>151</v>
      </c>
      <c r="H9" s="38" t="s">
        <v>151</v>
      </c>
      <c r="I9" s="38" t="s">
        <v>151</v>
      </c>
      <c r="J9" s="38" t="s">
        <v>151</v>
      </c>
      <c r="K9" s="38" t="s">
        <v>151</v>
      </c>
      <c r="L9" s="38" t="s">
        <v>151</v>
      </c>
      <c r="M9" s="38" t="s">
        <v>151</v>
      </c>
      <c r="N9" s="38" t="s">
        <v>151</v>
      </c>
      <c r="O9" s="38" t="s">
        <v>151</v>
      </c>
      <c r="P9" s="38" t="s">
        <v>151</v>
      </c>
      <c r="Q9" s="38" t="s">
        <v>151</v>
      </c>
      <c r="R9" s="38" t="s">
        <v>151</v>
      </c>
      <c r="S9" s="38" t="s">
        <v>151</v>
      </c>
      <c r="T9" s="45" t="s">
        <v>190</v>
      </c>
      <c r="U9" s="38" t="s">
        <v>151</v>
      </c>
      <c r="V9" s="38" t="s">
        <v>151</v>
      </c>
      <c r="W9" s="38" t="s">
        <v>151</v>
      </c>
      <c r="X9" s="38" t="s">
        <v>151</v>
      </c>
      <c r="Y9" s="38" t="s">
        <v>151</v>
      </c>
      <c r="Z9" s="38" t="s">
        <v>151</v>
      </c>
      <c r="AA9" s="38" t="s">
        <v>151</v>
      </c>
      <c r="AB9" s="45" t="s">
        <v>190</v>
      </c>
      <c r="AC9" s="38" t="s">
        <v>151</v>
      </c>
      <c r="AD9" s="38" t="s">
        <v>151</v>
      </c>
      <c r="AE9" s="38" t="s">
        <v>151</v>
      </c>
      <c r="AF9" s="38" t="s">
        <v>151</v>
      </c>
      <c r="AG9" s="38" t="s">
        <v>151</v>
      </c>
      <c r="AH9" s="38" t="s">
        <v>151</v>
      </c>
      <c r="AI9" s="38" t="s">
        <v>151</v>
      </c>
      <c r="AJ9" s="38" t="s">
        <v>151</v>
      </c>
      <c r="AK9" s="45" t="s">
        <v>190</v>
      </c>
      <c r="AL9" s="38" t="s">
        <v>151</v>
      </c>
      <c r="AM9" s="38" t="s">
        <v>151</v>
      </c>
      <c r="AN9" s="38" t="s">
        <v>151</v>
      </c>
      <c r="AO9" s="38" t="s">
        <v>151</v>
      </c>
      <c r="AP9" s="38" t="s">
        <v>151</v>
      </c>
      <c r="AQ9" s="38" t="s">
        <v>151</v>
      </c>
      <c r="AR9" s="38" t="s">
        <v>151</v>
      </c>
    </row>
    <row r="10">
      <c r="A10" s="1" t="str">
        <f>IFERROR(__xludf.DUMMYFUNCTION("""COMPUTED_VALUE"""),"Archangel")</f>
        <v>Archangel</v>
      </c>
      <c r="B10" s="45" t="s">
        <v>190</v>
      </c>
      <c r="C10" s="38" t="s">
        <v>151</v>
      </c>
      <c r="D10" s="38" t="s">
        <v>151</v>
      </c>
      <c r="E10" s="38" t="s">
        <v>151</v>
      </c>
      <c r="F10" s="38" t="s">
        <v>151</v>
      </c>
      <c r="G10" s="38" t="s">
        <v>151</v>
      </c>
      <c r="H10" s="38" t="s">
        <v>151</v>
      </c>
      <c r="I10" s="38" t="s">
        <v>151</v>
      </c>
      <c r="J10" s="38" t="s">
        <v>151</v>
      </c>
      <c r="K10" s="38" t="s">
        <v>151</v>
      </c>
      <c r="L10" s="38" t="s">
        <v>151</v>
      </c>
      <c r="M10" s="38" t="s">
        <v>151</v>
      </c>
      <c r="N10" s="38" t="s">
        <v>151</v>
      </c>
      <c r="O10" s="38" t="s">
        <v>151</v>
      </c>
      <c r="P10" s="38" t="s">
        <v>151</v>
      </c>
      <c r="Q10" s="38" t="s">
        <v>151</v>
      </c>
      <c r="R10" s="38" t="s">
        <v>151</v>
      </c>
      <c r="S10" s="38" t="s">
        <v>151</v>
      </c>
      <c r="T10" s="38" t="s">
        <v>151</v>
      </c>
      <c r="U10" s="38" t="s">
        <v>151</v>
      </c>
      <c r="V10" s="38" t="s">
        <v>151</v>
      </c>
      <c r="W10" s="38" t="s">
        <v>151</v>
      </c>
      <c r="X10" s="38" t="s">
        <v>151</v>
      </c>
      <c r="Y10" s="38" t="s">
        <v>151</v>
      </c>
      <c r="Z10" s="38" t="s">
        <v>151</v>
      </c>
      <c r="AA10" s="38" t="s">
        <v>151</v>
      </c>
      <c r="AB10" s="38" t="s">
        <v>151</v>
      </c>
      <c r="AC10" s="38" t="s">
        <v>151</v>
      </c>
      <c r="AD10" s="38" t="s">
        <v>151</v>
      </c>
      <c r="AE10" s="38" t="s">
        <v>151</v>
      </c>
      <c r="AF10" s="38" t="s">
        <v>151</v>
      </c>
      <c r="AG10" s="38" t="s">
        <v>151</v>
      </c>
      <c r="AH10" s="38" t="s">
        <v>151</v>
      </c>
      <c r="AI10" s="38" t="s">
        <v>151</v>
      </c>
      <c r="AJ10" s="38" t="s">
        <v>151</v>
      </c>
      <c r="AK10" s="38" t="s">
        <v>151</v>
      </c>
      <c r="AL10" s="38" t="s">
        <v>151</v>
      </c>
      <c r="AM10" s="38" t="s">
        <v>151</v>
      </c>
      <c r="AN10" s="38" t="s">
        <v>151</v>
      </c>
      <c r="AO10" s="38" t="s">
        <v>151</v>
      </c>
      <c r="AP10" s="38" t="s">
        <v>151</v>
      </c>
      <c r="AQ10" s="38" t="s">
        <v>151</v>
      </c>
      <c r="AR10" s="38" t="s">
        <v>151</v>
      </c>
    </row>
    <row r="11">
      <c r="A11" s="1" t="str">
        <f>IFERROR(__xludf.DUMMYFUNCTION("""COMPUTED_VALUE"""),"Arnim Zola")</f>
        <v>Arnim Zola</v>
      </c>
      <c r="B11" s="38" t="s">
        <v>151</v>
      </c>
      <c r="C11" s="38" t="s">
        <v>151</v>
      </c>
      <c r="D11" s="38" t="s">
        <v>151</v>
      </c>
      <c r="E11" s="38" t="s">
        <v>151</v>
      </c>
      <c r="F11" s="45" t="s">
        <v>190</v>
      </c>
      <c r="G11" s="38" t="s">
        <v>151</v>
      </c>
      <c r="H11" s="38" t="s">
        <v>151</v>
      </c>
      <c r="I11" s="38" t="s">
        <v>151</v>
      </c>
      <c r="J11" s="38" t="s">
        <v>151</v>
      </c>
      <c r="K11" s="38" t="s">
        <v>151</v>
      </c>
      <c r="L11" s="38" t="s">
        <v>151</v>
      </c>
      <c r="M11" s="38" t="s">
        <v>151</v>
      </c>
      <c r="N11" s="38" t="s">
        <v>151</v>
      </c>
      <c r="O11" s="38" t="s">
        <v>151</v>
      </c>
      <c r="P11" s="38" t="s">
        <v>151</v>
      </c>
      <c r="Q11" s="38" t="s">
        <v>151</v>
      </c>
      <c r="R11" s="38" t="s">
        <v>151</v>
      </c>
      <c r="S11" s="38" t="s">
        <v>151</v>
      </c>
      <c r="T11" s="38" t="s">
        <v>151</v>
      </c>
      <c r="U11" s="38" t="s">
        <v>151</v>
      </c>
      <c r="V11" s="38" t="s">
        <v>151</v>
      </c>
      <c r="W11" s="38" t="s">
        <v>151</v>
      </c>
      <c r="X11" s="38" t="s">
        <v>151</v>
      </c>
      <c r="Y11" s="38" t="s">
        <v>151</v>
      </c>
      <c r="Z11" s="38" t="s">
        <v>151</v>
      </c>
      <c r="AA11" s="38" t="s">
        <v>151</v>
      </c>
      <c r="AB11" s="45" t="s">
        <v>190</v>
      </c>
      <c r="AC11" s="38" t="s">
        <v>151</v>
      </c>
      <c r="AD11" s="38" t="s">
        <v>151</v>
      </c>
      <c r="AE11" s="38" t="s">
        <v>151</v>
      </c>
      <c r="AF11" s="38" t="s">
        <v>151</v>
      </c>
      <c r="AG11" s="38" t="s">
        <v>151</v>
      </c>
      <c r="AH11" s="38" t="s">
        <v>151</v>
      </c>
      <c r="AI11" s="38" t="s">
        <v>151</v>
      </c>
      <c r="AJ11" s="38" t="s">
        <v>151</v>
      </c>
      <c r="AK11" s="38" t="s">
        <v>151</v>
      </c>
      <c r="AL11" s="38" t="s">
        <v>151</v>
      </c>
      <c r="AM11" s="38" t="s">
        <v>151</v>
      </c>
      <c r="AN11" s="38" t="s">
        <v>151</v>
      </c>
      <c r="AO11" s="38" t="s">
        <v>151</v>
      </c>
      <c r="AP11" s="38" t="s">
        <v>151</v>
      </c>
      <c r="AQ11" s="38" t="s">
        <v>151</v>
      </c>
      <c r="AR11" s="38" t="s">
        <v>151</v>
      </c>
    </row>
    <row r="12">
      <c r="A12" s="1" t="str">
        <f>IFERROR(__xludf.DUMMYFUNCTION("""COMPUTED_VALUE"""),"Attuma")</f>
        <v>Attuma</v>
      </c>
      <c r="B12" s="38" t="s">
        <v>151</v>
      </c>
      <c r="C12" s="38" t="s">
        <v>151</v>
      </c>
      <c r="D12" s="38" t="s">
        <v>151</v>
      </c>
      <c r="E12" s="38" t="s">
        <v>151</v>
      </c>
      <c r="F12" s="38" t="s">
        <v>151</v>
      </c>
      <c r="G12" s="38" t="s">
        <v>151</v>
      </c>
      <c r="H12" s="38" t="s">
        <v>151</v>
      </c>
      <c r="I12" s="38" t="s">
        <v>151</v>
      </c>
      <c r="J12" s="38" t="s">
        <v>151</v>
      </c>
      <c r="K12" s="38" t="s">
        <v>151</v>
      </c>
      <c r="L12" s="38" t="s">
        <v>151</v>
      </c>
      <c r="M12" s="38" t="s">
        <v>151</v>
      </c>
      <c r="N12" s="38" t="s">
        <v>151</v>
      </c>
      <c r="O12" s="38" t="s">
        <v>151</v>
      </c>
      <c r="P12" s="38" t="s">
        <v>151</v>
      </c>
      <c r="Q12" s="38" t="s">
        <v>151</v>
      </c>
      <c r="R12" s="38" t="s">
        <v>151</v>
      </c>
      <c r="S12" s="38" t="s">
        <v>151</v>
      </c>
      <c r="T12" s="45" t="s">
        <v>190</v>
      </c>
      <c r="U12" s="38" t="s">
        <v>151</v>
      </c>
      <c r="V12" s="38" t="s">
        <v>151</v>
      </c>
      <c r="W12" s="38" t="s">
        <v>151</v>
      </c>
      <c r="X12" s="38" t="s">
        <v>151</v>
      </c>
      <c r="Y12" s="38" t="s">
        <v>151</v>
      </c>
      <c r="Z12" s="38" t="s">
        <v>151</v>
      </c>
      <c r="AA12" s="38" t="s">
        <v>151</v>
      </c>
      <c r="AB12" s="38" t="s">
        <v>151</v>
      </c>
      <c r="AC12" s="38" t="s">
        <v>151</v>
      </c>
      <c r="AD12" s="38" t="s">
        <v>151</v>
      </c>
      <c r="AE12" s="38" t="s">
        <v>151</v>
      </c>
      <c r="AF12" s="38" t="s">
        <v>151</v>
      </c>
      <c r="AG12" s="38" t="s">
        <v>151</v>
      </c>
      <c r="AH12" s="38" t="s">
        <v>151</v>
      </c>
      <c r="AI12" s="38" t="s">
        <v>151</v>
      </c>
      <c r="AJ12" s="38" t="s">
        <v>151</v>
      </c>
      <c r="AK12" s="38" t="s">
        <v>151</v>
      </c>
      <c r="AL12" s="38" t="s">
        <v>151</v>
      </c>
      <c r="AM12" s="38" t="s">
        <v>151</v>
      </c>
      <c r="AN12" s="38" t="s">
        <v>151</v>
      </c>
      <c r="AO12" s="38" t="s">
        <v>151</v>
      </c>
      <c r="AP12" s="38" t="s">
        <v>151</v>
      </c>
      <c r="AQ12" s="38" t="s">
        <v>151</v>
      </c>
      <c r="AR12" s="38" t="s">
        <v>151</v>
      </c>
    </row>
    <row r="13">
      <c r="A13" s="1" t="str">
        <f>IFERROR(__xludf.DUMMYFUNCTION("""COMPUTED_VALUE"""),"Beta Ray Bill")</f>
        <v>Beta Ray Bill</v>
      </c>
      <c r="B13" s="38" t="s">
        <v>151</v>
      </c>
      <c r="C13" s="38" t="s">
        <v>151</v>
      </c>
      <c r="D13" s="38" t="s">
        <v>151</v>
      </c>
      <c r="E13" s="38" t="s">
        <v>151</v>
      </c>
      <c r="F13" s="38" t="s">
        <v>151</v>
      </c>
      <c r="G13" s="38" t="s">
        <v>151</v>
      </c>
      <c r="H13" s="38" t="s">
        <v>151</v>
      </c>
      <c r="I13" s="38" t="s">
        <v>151</v>
      </c>
      <c r="J13" s="38" t="s">
        <v>151</v>
      </c>
      <c r="K13" s="38" t="s">
        <v>151</v>
      </c>
      <c r="L13" s="38" t="s">
        <v>151</v>
      </c>
      <c r="M13" s="38" t="s">
        <v>151</v>
      </c>
      <c r="N13" s="38" t="s">
        <v>151</v>
      </c>
      <c r="O13" s="38" t="s">
        <v>151</v>
      </c>
      <c r="P13" s="38" t="s">
        <v>151</v>
      </c>
      <c r="Q13" s="38" t="s">
        <v>151</v>
      </c>
      <c r="R13" s="38" t="s">
        <v>151</v>
      </c>
      <c r="S13" s="38" t="s">
        <v>151</v>
      </c>
      <c r="T13" s="38" t="s">
        <v>151</v>
      </c>
      <c r="U13" s="38" t="s">
        <v>151</v>
      </c>
      <c r="V13" s="38" t="s">
        <v>151</v>
      </c>
      <c r="W13" s="38" t="s">
        <v>151</v>
      </c>
      <c r="X13" s="38" t="s">
        <v>151</v>
      </c>
      <c r="Y13" s="38" t="s">
        <v>151</v>
      </c>
      <c r="Z13" s="38" t="s">
        <v>151</v>
      </c>
      <c r="AA13" s="38" t="s">
        <v>151</v>
      </c>
      <c r="AB13" s="38" t="s">
        <v>151</v>
      </c>
      <c r="AC13" s="38" t="s">
        <v>151</v>
      </c>
      <c r="AD13" s="45" t="s">
        <v>190</v>
      </c>
      <c r="AE13" s="38" t="s">
        <v>151</v>
      </c>
      <c r="AF13" s="38" t="s">
        <v>151</v>
      </c>
      <c r="AG13" s="38" t="s">
        <v>151</v>
      </c>
      <c r="AH13" s="38" t="s">
        <v>151</v>
      </c>
      <c r="AI13" s="38" t="s">
        <v>151</v>
      </c>
      <c r="AJ13" s="38" t="s">
        <v>151</v>
      </c>
      <c r="AK13" s="45" t="s">
        <v>190</v>
      </c>
      <c r="AL13" s="38" t="s">
        <v>151</v>
      </c>
      <c r="AM13" s="38" t="s">
        <v>151</v>
      </c>
      <c r="AN13" s="38" t="s">
        <v>151</v>
      </c>
      <c r="AO13" s="38" t="s">
        <v>151</v>
      </c>
      <c r="AP13" s="38" t="s">
        <v>151</v>
      </c>
      <c r="AQ13" s="38" t="s">
        <v>151</v>
      </c>
      <c r="AR13" s="38" t="s">
        <v>151</v>
      </c>
    </row>
    <row r="14">
      <c r="A14" s="1" t="str">
        <f>IFERROR(__xludf.DUMMYFUNCTION("""COMPUTED_VALUE"""),"Black Bolt")</f>
        <v>Black Bolt</v>
      </c>
      <c r="B14" s="38" t="s">
        <v>151</v>
      </c>
      <c r="C14" s="38" t="s">
        <v>151</v>
      </c>
      <c r="D14" s="38" t="s">
        <v>151</v>
      </c>
      <c r="E14" s="38" t="s">
        <v>151</v>
      </c>
      <c r="F14" s="38" t="s">
        <v>151</v>
      </c>
      <c r="G14" s="38" t="s">
        <v>151</v>
      </c>
      <c r="H14" s="38" t="s">
        <v>151</v>
      </c>
      <c r="I14" s="38" t="s">
        <v>151</v>
      </c>
      <c r="J14" s="38" t="s">
        <v>151</v>
      </c>
      <c r="K14" s="38" t="s">
        <v>151</v>
      </c>
      <c r="L14" s="38" t="s">
        <v>151</v>
      </c>
      <c r="M14" s="38" t="s">
        <v>151</v>
      </c>
      <c r="N14" s="38" t="s">
        <v>151</v>
      </c>
      <c r="O14" s="38" t="s">
        <v>151</v>
      </c>
      <c r="P14" s="38" t="s">
        <v>151</v>
      </c>
      <c r="Q14" s="38" t="s">
        <v>151</v>
      </c>
      <c r="R14" s="38" t="s">
        <v>151</v>
      </c>
      <c r="S14" s="38" t="s">
        <v>151</v>
      </c>
      <c r="T14" s="38" t="s">
        <v>151</v>
      </c>
      <c r="U14" s="38" t="s">
        <v>151</v>
      </c>
      <c r="V14" s="38" t="s">
        <v>151</v>
      </c>
      <c r="W14" s="38" t="s">
        <v>151</v>
      </c>
      <c r="X14" s="38" t="s">
        <v>151</v>
      </c>
      <c r="Y14" s="38" t="s">
        <v>151</v>
      </c>
      <c r="Z14" s="38" t="s">
        <v>151</v>
      </c>
      <c r="AA14" s="38" t="s">
        <v>151</v>
      </c>
      <c r="AB14" s="45" t="s">
        <v>190</v>
      </c>
      <c r="AC14" s="38" t="s">
        <v>151</v>
      </c>
      <c r="AD14" s="38" t="s">
        <v>151</v>
      </c>
      <c r="AE14" s="38" t="s">
        <v>151</v>
      </c>
      <c r="AF14" s="38" t="s">
        <v>151</v>
      </c>
      <c r="AG14" s="38" t="s">
        <v>151</v>
      </c>
      <c r="AH14" s="38" t="s">
        <v>151</v>
      </c>
      <c r="AI14" s="38" t="s">
        <v>151</v>
      </c>
      <c r="AJ14" s="38" t="s">
        <v>151</v>
      </c>
      <c r="AK14" s="38" t="s">
        <v>151</v>
      </c>
      <c r="AL14" s="38" t="s">
        <v>151</v>
      </c>
      <c r="AM14" s="38" t="s">
        <v>151</v>
      </c>
      <c r="AN14" s="38" t="s">
        <v>151</v>
      </c>
      <c r="AO14" s="38" t="s">
        <v>151</v>
      </c>
      <c r="AP14" s="38" t="s">
        <v>151</v>
      </c>
      <c r="AQ14" s="38" t="s">
        <v>151</v>
      </c>
      <c r="AR14" s="38" t="s">
        <v>151</v>
      </c>
    </row>
    <row r="15">
      <c r="A15" s="1" t="str">
        <f>IFERROR(__xludf.DUMMYFUNCTION("""COMPUTED_VALUE"""),"Black Tarantula")</f>
        <v>Black Tarantula</v>
      </c>
      <c r="B15" s="38" t="s">
        <v>151</v>
      </c>
      <c r="C15" s="38" t="s">
        <v>151</v>
      </c>
      <c r="D15" s="38" t="s">
        <v>151</v>
      </c>
      <c r="E15" s="38" t="s">
        <v>151</v>
      </c>
      <c r="F15" s="38" t="s">
        <v>151</v>
      </c>
      <c r="G15" s="38" t="s">
        <v>151</v>
      </c>
      <c r="H15" s="38" t="s">
        <v>151</v>
      </c>
      <c r="I15" s="38" t="s">
        <v>151</v>
      </c>
      <c r="J15" s="38" t="s">
        <v>151</v>
      </c>
      <c r="K15" s="38" t="s">
        <v>151</v>
      </c>
      <c r="L15" s="38" t="s">
        <v>151</v>
      </c>
      <c r="M15" s="38" t="s">
        <v>151</v>
      </c>
      <c r="N15" s="38" t="s">
        <v>151</v>
      </c>
      <c r="O15" s="38" t="s">
        <v>151</v>
      </c>
      <c r="P15" s="38" t="s">
        <v>151</v>
      </c>
      <c r="Q15" s="38" t="s">
        <v>151</v>
      </c>
      <c r="R15" s="38" t="s">
        <v>151</v>
      </c>
      <c r="S15" s="38" t="s">
        <v>151</v>
      </c>
      <c r="T15" s="38" t="s">
        <v>151</v>
      </c>
      <c r="U15" s="38" t="s">
        <v>151</v>
      </c>
      <c r="V15" s="38" t="s">
        <v>151</v>
      </c>
      <c r="W15" s="38" t="s">
        <v>151</v>
      </c>
      <c r="X15" s="38" t="s">
        <v>151</v>
      </c>
      <c r="Y15" s="38" t="s">
        <v>151</v>
      </c>
      <c r="Z15" s="38" t="s">
        <v>151</v>
      </c>
      <c r="AA15" s="38" t="s">
        <v>151</v>
      </c>
      <c r="AB15" s="45" t="s">
        <v>190</v>
      </c>
      <c r="AC15" s="38" t="s">
        <v>151</v>
      </c>
      <c r="AD15" s="38" t="s">
        <v>151</v>
      </c>
      <c r="AE15" s="38" t="s">
        <v>151</v>
      </c>
      <c r="AF15" s="38" t="s">
        <v>151</v>
      </c>
      <c r="AG15" s="38" t="s">
        <v>151</v>
      </c>
      <c r="AH15" s="38" t="s">
        <v>151</v>
      </c>
      <c r="AI15" s="38" t="s">
        <v>151</v>
      </c>
      <c r="AJ15" s="38" t="s">
        <v>151</v>
      </c>
      <c r="AK15" s="38" t="s">
        <v>151</v>
      </c>
      <c r="AL15" s="38" t="s">
        <v>151</v>
      </c>
      <c r="AM15" s="38" t="s">
        <v>151</v>
      </c>
      <c r="AN15" s="38" t="s">
        <v>151</v>
      </c>
      <c r="AO15" s="38" t="s">
        <v>151</v>
      </c>
      <c r="AP15" s="38" t="s">
        <v>151</v>
      </c>
      <c r="AQ15" s="38" t="s">
        <v>151</v>
      </c>
      <c r="AR15" s="38" t="s">
        <v>151</v>
      </c>
    </row>
    <row r="16">
      <c r="A16" s="1" t="str">
        <f>IFERROR(__xludf.DUMMYFUNCTION("""COMPUTED_VALUE"""),"Black Widow")</f>
        <v>Black Widow</v>
      </c>
      <c r="B16" s="38" t="s">
        <v>151</v>
      </c>
      <c r="C16" s="38" t="s">
        <v>151</v>
      </c>
      <c r="D16" s="38" t="s">
        <v>151</v>
      </c>
      <c r="E16" s="38" t="s">
        <v>151</v>
      </c>
      <c r="F16" s="38" t="s">
        <v>151</v>
      </c>
      <c r="G16" s="38" t="s">
        <v>151</v>
      </c>
      <c r="H16" s="38" t="s">
        <v>151</v>
      </c>
      <c r="I16" s="38" t="s">
        <v>151</v>
      </c>
      <c r="J16" s="38" t="s">
        <v>151</v>
      </c>
      <c r="K16" s="38" t="s">
        <v>151</v>
      </c>
      <c r="L16" s="38" t="s">
        <v>151</v>
      </c>
      <c r="M16" s="38" t="s">
        <v>151</v>
      </c>
      <c r="N16" s="38" t="s">
        <v>151</v>
      </c>
      <c r="O16" s="38" t="s">
        <v>151</v>
      </c>
      <c r="P16" s="38" t="s">
        <v>151</v>
      </c>
      <c r="Q16" s="38" t="s">
        <v>151</v>
      </c>
      <c r="R16" s="38" t="s">
        <v>151</v>
      </c>
      <c r="S16" s="38" t="s">
        <v>151</v>
      </c>
      <c r="T16" s="38" t="s">
        <v>151</v>
      </c>
      <c r="U16" s="38" t="s">
        <v>151</v>
      </c>
      <c r="V16" s="38" t="s">
        <v>151</v>
      </c>
      <c r="W16" s="38" t="s">
        <v>151</v>
      </c>
      <c r="X16" s="38" t="s">
        <v>151</v>
      </c>
      <c r="Y16" s="38" t="s">
        <v>151</v>
      </c>
      <c r="Z16" s="38" t="s">
        <v>151</v>
      </c>
      <c r="AA16" s="38" t="s">
        <v>151</v>
      </c>
      <c r="AB16" s="45" t="s">
        <v>190</v>
      </c>
      <c r="AC16" s="38" t="s">
        <v>151</v>
      </c>
      <c r="AD16" s="38" t="s">
        <v>151</v>
      </c>
      <c r="AE16" s="38" t="s">
        <v>151</v>
      </c>
      <c r="AF16" s="38" t="s">
        <v>151</v>
      </c>
      <c r="AG16" s="38" t="s">
        <v>151</v>
      </c>
      <c r="AH16" s="38" t="s">
        <v>151</v>
      </c>
      <c r="AI16" s="38" t="s">
        <v>151</v>
      </c>
      <c r="AJ16" s="38" t="s">
        <v>151</v>
      </c>
      <c r="AK16" s="38" t="s">
        <v>151</v>
      </c>
      <c r="AL16" s="38" t="s">
        <v>151</v>
      </c>
      <c r="AM16" s="38" t="s">
        <v>151</v>
      </c>
      <c r="AN16" s="38" t="s">
        <v>151</v>
      </c>
      <c r="AO16" s="38" t="s">
        <v>151</v>
      </c>
      <c r="AP16" s="38" t="s">
        <v>151</v>
      </c>
      <c r="AQ16" s="38" t="s">
        <v>151</v>
      </c>
      <c r="AR16" s="38" t="s">
        <v>151</v>
      </c>
    </row>
    <row r="17">
      <c r="A17" s="1" t="str">
        <f>IFERROR(__xludf.DUMMYFUNCTION("""COMPUTED_VALUE"""),"Black Widow (Claire Voyant)")</f>
        <v>Black Widow (Claire Voyant)</v>
      </c>
      <c r="B17" s="38" t="s">
        <v>151</v>
      </c>
      <c r="C17" s="38" t="s">
        <v>151</v>
      </c>
      <c r="D17" s="38" t="s">
        <v>151</v>
      </c>
      <c r="E17" s="38" t="s">
        <v>151</v>
      </c>
      <c r="F17" s="45" t="s">
        <v>190</v>
      </c>
      <c r="G17" s="45" t="s">
        <v>190</v>
      </c>
      <c r="H17" s="38" t="s">
        <v>151</v>
      </c>
      <c r="I17" s="38" t="s">
        <v>151</v>
      </c>
      <c r="J17" s="38" t="s">
        <v>151</v>
      </c>
      <c r="K17" s="38" t="s">
        <v>151</v>
      </c>
      <c r="L17" s="38" t="s">
        <v>151</v>
      </c>
      <c r="M17" s="38" t="s">
        <v>151</v>
      </c>
      <c r="N17" s="38" t="s">
        <v>151</v>
      </c>
      <c r="O17" s="38" t="s">
        <v>151</v>
      </c>
      <c r="P17" s="38" t="s">
        <v>151</v>
      </c>
      <c r="Q17" s="38" t="s">
        <v>151</v>
      </c>
      <c r="R17" s="38" t="s">
        <v>151</v>
      </c>
      <c r="S17" s="38" t="s">
        <v>151</v>
      </c>
      <c r="T17" s="45" t="s">
        <v>190</v>
      </c>
      <c r="U17" s="38" t="s">
        <v>151</v>
      </c>
      <c r="V17" s="38" t="s">
        <v>151</v>
      </c>
      <c r="W17" s="38" t="s">
        <v>151</v>
      </c>
      <c r="X17" s="38" t="s">
        <v>151</v>
      </c>
      <c r="Y17" s="38" t="s">
        <v>151</v>
      </c>
      <c r="Z17" s="38" t="s">
        <v>151</v>
      </c>
      <c r="AA17" s="38" t="s">
        <v>151</v>
      </c>
      <c r="AB17" s="45" t="s">
        <v>190</v>
      </c>
      <c r="AC17" s="38" t="s">
        <v>151</v>
      </c>
      <c r="AD17" s="38" t="s">
        <v>151</v>
      </c>
      <c r="AE17" s="38" t="s">
        <v>151</v>
      </c>
      <c r="AF17" s="38" t="s">
        <v>151</v>
      </c>
      <c r="AG17" s="38" t="s">
        <v>151</v>
      </c>
      <c r="AH17" s="38" t="s">
        <v>151</v>
      </c>
      <c r="AI17" s="38" t="s">
        <v>151</v>
      </c>
      <c r="AJ17" s="38" t="s">
        <v>151</v>
      </c>
      <c r="AK17" s="38" t="s">
        <v>151</v>
      </c>
      <c r="AL17" s="38" t="s">
        <v>151</v>
      </c>
      <c r="AM17" s="38" t="s">
        <v>151</v>
      </c>
      <c r="AN17" s="38" t="s">
        <v>151</v>
      </c>
      <c r="AO17" s="38" t="s">
        <v>151</v>
      </c>
      <c r="AP17" s="38" t="s">
        <v>151</v>
      </c>
      <c r="AQ17" s="38" t="s">
        <v>151</v>
      </c>
      <c r="AR17" s="38" t="s">
        <v>151</v>
      </c>
    </row>
    <row r="18">
      <c r="A18" s="1" t="str">
        <f>IFERROR(__xludf.DUMMYFUNCTION("""COMPUTED_VALUE"""),"Black Widow (Deadly Origin)")</f>
        <v>Black Widow (Deadly Origin)</v>
      </c>
      <c r="B18" s="38" t="s">
        <v>151</v>
      </c>
      <c r="C18" s="38" t="s">
        <v>151</v>
      </c>
      <c r="D18" s="38" t="s">
        <v>151</v>
      </c>
      <c r="E18" s="38" t="s">
        <v>151</v>
      </c>
      <c r="F18" s="38" t="s">
        <v>151</v>
      </c>
      <c r="G18" s="38" t="s">
        <v>151</v>
      </c>
      <c r="H18" s="38" t="s">
        <v>151</v>
      </c>
      <c r="I18" s="38" t="s">
        <v>151</v>
      </c>
      <c r="J18" s="38" t="s">
        <v>151</v>
      </c>
      <c r="K18" s="38" t="s">
        <v>151</v>
      </c>
      <c r="L18" s="38" t="s">
        <v>151</v>
      </c>
      <c r="M18" s="38" t="s">
        <v>151</v>
      </c>
      <c r="N18" s="38" t="s">
        <v>151</v>
      </c>
      <c r="O18" s="38" t="s">
        <v>151</v>
      </c>
      <c r="P18" s="38" t="s">
        <v>151</v>
      </c>
      <c r="Q18" s="38" t="s">
        <v>151</v>
      </c>
      <c r="R18" s="38" t="s">
        <v>151</v>
      </c>
      <c r="S18" s="38" t="s">
        <v>151</v>
      </c>
      <c r="T18" s="38" t="s">
        <v>151</v>
      </c>
      <c r="U18" s="38" t="s">
        <v>151</v>
      </c>
      <c r="V18" s="38" t="s">
        <v>151</v>
      </c>
      <c r="W18" s="38" t="s">
        <v>151</v>
      </c>
      <c r="X18" s="38" t="s">
        <v>151</v>
      </c>
      <c r="Y18" s="38" t="s">
        <v>151</v>
      </c>
      <c r="Z18" s="38" t="s">
        <v>151</v>
      </c>
      <c r="AA18" s="38" t="s">
        <v>151</v>
      </c>
      <c r="AB18" s="45" t="s">
        <v>190</v>
      </c>
      <c r="AC18" s="38" t="s">
        <v>151</v>
      </c>
      <c r="AD18" s="38" t="s">
        <v>151</v>
      </c>
      <c r="AE18" s="38" t="s">
        <v>151</v>
      </c>
      <c r="AF18" s="38" t="s">
        <v>151</v>
      </c>
      <c r="AG18" s="38" t="s">
        <v>151</v>
      </c>
      <c r="AH18" s="38" t="s">
        <v>151</v>
      </c>
      <c r="AI18" s="38" t="s">
        <v>151</v>
      </c>
      <c r="AJ18" s="38" t="s">
        <v>151</v>
      </c>
      <c r="AK18" s="38" t="s">
        <v>151</v>
      </c>
      <c r="AL18" s="38" t="s">
        <v>151</v>
      </c>
      <c r="AM18" s="38" t="s">
        <v>151</v>
      </c>
      <c r="AN18" s="38" t="s">
        <v>151</v>
      </c>
      <c r="AO18" s="38" t="s">
        <v>151</v>
      </c>
      <c r="AP18" s="38" t="s">
        <v>151</v>
      </c>
      <c r="AQ18" s="38" t="s">
        <v>151</v>
      </c>
      <c r="AR18" s="38" t="s">
        <v>151</v>
      </c>
    </row>
    <row r="19">
      <c r="A19" s="1" t="str">
        <f>IFERROR(__xludf.DUMMYFUNCTION("""COMPUTED_VALUE"""),"Blue Marvel")</f>
        <v>Blue Marvel</v>
      </c>
      <c r="B19" s="38" t="s">
        <v>151</v>
      </c>
      <c r="C19" s="38" t="s">
        <v>151</v>
      </c>
      <c r="D19" s="38" t="s">
        <v>151</v>
      </c>
      <c r="E19" s="38" t="s">
        <v>151</v>
      </c>
      <c r="F19" s="45" t="s">
        <v>190</v>
      </c>
      <c r="G19" s="38" t="s">
        <v>151</v>
      </c>
      <c r="H19" s="38" t="s">
        <v>151</v>
      </c>
      <c r="I19" s="38" t="s">
        <v>151</v>
      </c>
      <c r="J19" s="38" t="s">
        <v>151</v>
      </c>
      <c r="K19" s="38" t="s">
        <v>151</v>
      </c>
      <c r="L19" s="38" t="s">
        <v>151</v>
      </c>
      <c r="M19" s="38" t="s">
        <v>151</v>
      </c>
      <c r="N19" s="38" t="s">
        <v>151</v>
      </c>
      <c r="O19" s="38" t="s">
        <v>151</v>
      </c>
      <c r="P19" s="38" t="s">
        <v>151</v>
      </c>
      <c r="Q19" s="38" t="s">
        <v>151</v>
      </c>
      <c r="R19" s="38" t="s">
        <v>151</v>
      </c>
      <c r="S19" s="38" t="s">
        <v>151</v>
      </c>
      <c r="T19" s="38" t="s">
        <v>151</v>
      </c>
      <c r="U19" s="38" t="s">
        <v>151</v>
      </c>
      <c r="V19" s="38" t="s">
        <v>151</v>
      </c>
      <c r="W19" s="38" t="s">
        <v>151</v>
      </c>
      <c r="X19" s="38" t="s">
        <v>151</v>
      </c>
      <c r="Y19" s="38" t="s">
        <v>151</v>
      </c>
      <c r="Z19" s="38" t="s">
        <v>151</v>
      </c>
      <c r="AA19" s="38" t="s">
        <v>151</v>
      </c>
      <c r="AB19" s="38" t="s">
        <v>151</v>
      </c>
      <c r="AC19" s="38" t="s">
        <v>151</v>
      </c>
      <c r="AD19" s="38" t="s">
        <v>151</v>
      </c>
      <c r="AE19" s="38" t="s">
        <v>151</v>
      </c>
      <c r="AF19" s="45" t="s">
        <v>190</v>
      </c>
      <c r="AG19" s="38" t="s">
        <v>151</v>
      </c>
      <c r="AH19" s="38" t="s">
        <v>151</v>
      </c>
      <c r="AI19" s="38" t="s">
        <v>151</v>
      </c>
      <c r="AJ19" s="38" t="s">
        <v>151</v>
      </c>
      <c r="AK19" s="38" t="s">
        <v>151</v>
      </c>
      <c r="AL19" s="38" t="s">
        <v>151</v>
      </c>
      <c r="AM19" s="38" t="s">
        <v>151</v>
      </c>
      <c r="AN19" s="38" t="s">
        <v>151</v>
      </c>
      <c r="AO19" s="38" t="s">
        <v>151</v>
      </c>
      <c r="AP19" s="38" t="s">
        <v>151</v>
      </c>
      <c r="AQ19" s="38" t="s">
        <v>151</v>
      </c>
      <c r="AR19" s="38" t="s">
        <v>151</v>
      </c>
    </row>
    <row r="20">
      <c r="A20" s="1" t="str">
        <f>IFERROR(__xludf.DUMMYFUNCTION("""COMPUTED_VALUE"""),"Bullseye")</f>
        <v>Bullseye</v>
      </c>
      <c r="B20" s="38" t="s">
        <v>151</v>
      </c>
      <c r="C20" s="38" t="s">
        <v>151</v>
      </c>
      <c r="D20" s="38" t="s">
        <v>151</v>
      </c>
      <c r="E20" s="38" t="s">
        <v>151</v>
      </c>
      <c r="F20" s="38" t="s">
        <v>151</v>
      </c>
      <c r="G20" s="38" t="s">
        <v>151</v>
      </c>
      <c r="H20" s="38" t="s">
        <v>151</v>
      </c>
      <c r="I20" s="38" t="s">
        <v>151</v>
      </c>
      <c r="J20" s="38" t="s">
        <v>151</v>
      </c>
      <c r="K20" s="38" t="s">
        <v>151</v>
      </c>
      <c r="L20" s="38" t="s">
        <v>151</v>
      </c>
      <c r="M20" s="38" t="s">
        <v>151</v>
      </c>
      <c r="N20" s="38" t="s">
        <v>151</v>
      </c>
      <c r="O20" s="38" t="s">
        <v>151</v>
      </c>
      <c r="P20" s="38" t="s">
        <v>151</v>
      </c>
      <c r="Q20" s="45" t="s">
        <v>190</v>
      </c>
      <c r="R20" s="38" t="s">
        <v>151</v>
      </c>
      <c r="S20" s="38" t="s">
        <v>151</v>
      </c>
      <c r="T20" s="38" t="s">
        <v>151</v>
      </c>
      <c r="U20" s="38" t="s">
        <v>151</v>
      </c>
      <c r="V20" s="38" t="s">
        <v>151</v>
      </c>
      <c r="W20" s="38" t="s">
        <v>151</v>
      </c>
      <c r="X20" s="38" t="s">
        <v>151</v>
      </c>
      <c r="Y20" s="38" t="s">
        <v>151</v>
      </c>
      <c r="Z20" s="38" t="s">
        <v>151</v>
      </c>
      <c r="AA20" s="38" t="s">
        <v>151</v>
      </c>
      <c r="AB20" s="38" t="s">
        <v>151</v>
      </c>
      <c r="AC20" s="38" t="s">
        <v>151</v>
      </c>
      <c r="AD20" s="38" t="s">
        <v>151</v>
      </c>
      <c r="AE20" s="38" t="s">
        <v>151</v>
      </c>
      <c r="AF20" s="38" t="s">
        <v>151</v>
      </c>
      <c r="AG20" s="38" t="s">
        <v>151</v>
      </c>
      <c r="AH20" s="45" t="s">
        <v>190</v>
      </c>
      <c r="AI20" s="38" t="s">
        <v>151</v>
      </c>
      <c r="AJ20" s="38" t="s">
        <v>151</v>
      </c>
      <c r="AK20" s="38" t="s">
        <v>151</v>
      </c>
      <c r="AL20" s="38" t="s">
        <v>151</v>
      </c>
      <c r="AM20" s="38" t="s">
        <v>151</v>
      </c>
      <c r="AN20" s="38" t="s">
        <v>151</v>
      </c>
      <c r="AO20" s="38" t="s">
        <v>151</v>
      </c>
      <c r="AP20" s="38" t="s">
        <v>151</v>
      </c>
      <c r="AQ20" s="38" t="s">
        <v>151</v>
      </c>
      <c r="AR20" s="38" t="s">
        <v>151</v>
      </c>
    </row>
    <row r="21">
      <c r="A21" s="1" t="str">
        <f>IFERROR(__xludf.DUMMYFUNCTION("""COMPUTED_VALUE"""),"Captain Marvel")</f>
        <v>Captain Marvel</v>
      </c>
      <c r="B21" s="38" t="s">
        <v>151</v>
      </c>
      <c r="C21" s="38" t="s">
        <v>151</v>
      </c>
      <c r="D21" s="38" t="s">
        <v>151</v>
      </c>
      <c r="E21" s="38" t="s">
        <v>151</v>
      </c>
      <c r="F21" s="38" t="s">
        <v>151</v>
      </c>
      <c r="G21" s="38" t="s">
        <v>151</v>
      </c>
      <c r="H21" s="38" t="s">
        <v>151</v>
      </c>
      <c r="I21" s="38" t="s">
        <v>151</v>
      </c>
      <c r="J21" s="38" t="s">
        <v>151</v>
      </c>
      <c r="K21" s="38" t="s">
        <v>151</v>
      </c>
      <c r="L21" s="38" t="s">
        <v>151</v>
      </c>
      <c r="M21" s="38" t="s">
        <v>151</v>
      </c>
      <c r="N21" s="38" t="s">
        <v>151</v>
      </c>
      <c r="O21" s="38" t="s">
        <v>151</v>
      </c>
      <c r="P21" s="38" t="s">
        <v>151</v>
      </c>
      <c r="Q21" s="38" t="s">
        <v>151</v>
      </c>
      <c r="R21" s="38" t="s">
        <v>151</v>
      </c>
      <c r="S21" s="38" t="s">
        <v>151</v>
      </c>
      <c r="T21" s="38" t="s">
        <v>151</v>
      </c>
      <c r="U21" s="38" t="s">
        <v>151</v>
      </c>
      <c r="V21" s="38" t="s">
        <v>151</v>
      </c>
      <c r="W21" s="38" t="s">
        <v>151</v>
      </c>
      <c r="X21" s="38" t="s">
        <v>151</v>
      </c>
      <c r="Y21" s="38" t="s">
        <v>151</v>
      </c>
      <c r="Z21" s="38" t="s">
        <v>151</v>
      </c>
      <c r="AA21" s="38" t="s">
        <v>151</v>
      </c>
      <c r="AB21" s="45" t="s">
        <v>190</v>
      </c>
      <c r="AC21" s="38" t="s">
        <v>151</v>
      </c>
      <c r="AD21" s="38" t="s">
        <v>151</v>
      </c>
      <c r="AE21" s="38" t="s">
        <v>151</v>
      </c>
      <c r="AF21" s="38" t="s">
        <v>151</v>
      </c>
      <c r="AG21" s="38" t="s">
        <v>151</v>
      </c>
      <c r="AH21" s="38" t="s">
        <v>151</v>
      </c>
      <c r="AI21" s="38" t="s">
        <v>151</v>
      </c>
      <c r="AJ21" s="38" t="s">
        <v>151</v>
      </c>
      <c r="AK21" s="38" t="s">
        <v>151</v>
      </c>
      <c r="AL21" s="38" t="s">
        <v>151</v>
      </c>
      <c r="AM21" s="38" t="s">
        <v>151</v>
      </c>
      <c r="AN21" s="38" t="s">
        <v>151</v>
      </c>
      <c r="AO21" s="38" t="s">
        <v>151</v>
      </c>
      <c r="AP21" s="38" t="s">
        <v>151</v>
      </c>
      <c r="AQ21" s="38" t="s">
        <v>151</v>
      </c>
      <c r="AR21" s="38" t="s">
        <v>151</v>
      </c>
    </row>
    <row r="22">
      <c r="A22" s="1" t="str">
        <f>IFERROR(__xludf.DUMMYFUNCTION("""COMPUTED_VALUE"""),"Captain Marvel (Classic)")</f>
        <v>Captain Marvel (Classic)</v>
      </c>
      <c r="B22" s="38" t="s">
        <v>151</v>
      </c>
      <c r="C22" s="38" t="s">
        <v>151</v>
      </c>
      <c r="D22" s="38" t="s">
        <v>151</v>
      </c>
      <c r="E22" s="38" t="s">
        <v>151</v>
      </c>
      <c r="F22" s="38" t="s">
        <v>151</v>
      </c>
      <c r="G22" s="38" t="s">
        <v>151</v>
      </c>
      <c r="H22" s="38" t="s">
        <v>151</v>
      </c>
      <c r="I22" s="38" t="s">
        <v>151</v>
      </c>
      <c r="J22" s="38" t="s">
        <v>151</v>
      </c>
      <c r="K22" s="38" t="s">
        <v>151</v>
      </c>
      <c r="L22" s="38" t="s">
        <v>151</v>
      </c>
      <c r="M22" s="38" t="s">
        <v>151</v>
      </c>
      <c r="N22" s="38" t="s">
        <v>151</v>
      </c>
      <c r="O22" s="38" t="s">
        <v>151</v>
      </c>
      <c r="P22" s="38" t="s">
        <v>151</v>
      </c>
      <c r="Q22" s="38" t="s">
        <v>151</v>
      </c>
      <c r="R22" s="38" t="s">
        <v>151</v>
      </c>
      <c r="S22" s="38" t="s">
        <v>151</v>
      </c>
      <c r="T22" s="38" t="s">
        <v>151</v>
      </c>
      <c r="U22" s="38" t="s">
        <v>151</v>
      </c>
      <c r="V22" s="38" t="s">
        <v>151</v>
      </c>
      <c r="W22" s="38" t="s">
        <v>151</v>
      </c>
      <c r="X22" s="38" t="s">
        <v>151</v>
      </c>
      <c r="Y22" s="38" t="s">
        <v>151</v>
      </c>
      <c r="Z22" s="38" t="s">
        <v>151</v>
      </c>
      <c r="AA22" s="38" t="s">
        <v>151</v>
      </c>
      <c r="AB22" s="45" t="s">
        <v>190</v>
      </c>
      <c r="AC22" s="38" t="s">
        <v>151</v>
      </c>
      <c r="AD22" s="38" t="s">
        <v>151</v>
      </c>
      <c r="AE22" s="38" t="s">
        <v>151</v>
      </c>
      <c r="AF22" s="38" t="s">
        <v>151</v>
      </c>
      <c r="AG22" s="38" t="s">
        <v>151</v>
      </c>
      <c r="AH22" s="38" t="s">
        <v>151</v>
      </c>
      <c r="AI22" s="38" t="s">
        <v>151</v>
      </c>
      <c r="AJ22" s="38" t="s">
        <v>151</v>
      </c>
      <c r="AK22" s="38" t="s">
        <v>151</v>
      </c>
      <c r="AL22" s="38" t="s">
        <v>151</v>
      </c>
      <c r="AM22" s="38" t="s">
        <v>151</v>
      </c>
      <c r="AN22" s="38" t="s">
        <v>151</v>
      </c>
      <c r="AO22" s="38" t="s">
        <v>151</v>
      </c>
      <c r="AP22" s="38" t="s">
        <v>151</v>
      </c>
      <c r="AQ22" s="38" t="s">
        <v>151</v>
      </c>
      <c r="AR22" s="38" t="s">
        <v>151</v>
      </c>
    </row>
    <row r="23">
      <c r="A23" s="1" t="str">
        <f>IFERROR(__xludf.DUMMYFUNCTION("""COMPUTED_VALUE"""),"Cassie Lang")</f>
        <v>Cassie Lang</v>
      </c>
      <c r="B23" s="38" t="s">
        <v>151</v>
      </c>
      <c r="C23" s="38" t="s">
        <v>151</v>
      </c>
      <c r="D23" s="38" t="s">
        <v>151</v>
      </c>
      <c r="E23" s="38" t="s">
        <v>151</v>
      </c>
      <c r="F23" s="38" t="s">
        <v>151</v>
      </c>
      <c r="G23" s="45" t="s">
        <v>190</v>
      </c>
      <c r="H23" s="38" t="s">
        <v>151</v>
      </c>
      <c r="I23" s="38" t="s">
        <v>151</v>
      </c>
      <c r="J23" s="38" t="s">
        <v>151</v>
      </c>
      <c r="K23" s="38" t="s">
        <v>151</v>
      </c>
      <c r="L23" s="38" t="s">
        <v>151</v>
      </c>
      <c r="M23" s="38" t="s">
        <v>151</v>
      </c>
      <c r="N23" s="38" t="s">
        <v>151</v>
      </c>
      <c r="O23" s="38" t="s">
        <v>151</v>
      </c>
      <c r="P23" s="38" t="s">
        <v>151</v>
      </c>
      <c r="Q23" s="38" t="s">
        <v>151</v>
      </c>
      <c r="R23" s="38" t="s">
        <v>151</v>
      </c>
      <c r="S23" s="38" t="s">
        <v>151</v>
      </c>
      <c r="T23" s="38" t="s">
        <v>151</v>
      </c>
      <c r="U23" s="38" t="s">
        <v>151</v>
      </c>
      <c r="V23" s="38" t="s">
        <v>151</v>
      </c>
      <c r="W23" s="38" t="s">
        <v>151</v>
      </c>
      <c r="X23" s="38" t="s">
        <v>151</v>
      </c>
      <c r="Y23" s="38" t="s">
        <v>151</v>
      </c>
      <c r="Z23" s="38" t="s">
        <v>151</v>
      </c>
      <c r="AA23" s="38" t="s">
        <v>151</v>
      </c>
      <c r="AB23" s="45" t="s">
        <v>190</v>
      </c>
      <c r="AC23" s="38" t="s">
        <v>151</v>
      </c>
      <c r="AD23" s="38" t="s">
        <v>151</v>
      </c>
      <c r="AE23" s="38" t="s">
        <v>151</v>
      </c>
      <c r="AF23" s="45" t="s">
        <v>190</v>
      </c>
      <c r="AG23" s="38" t="s">
        <v>151</v>
      </c>
      <c r="AH23" s="38" t="s">
        <v>151</v>
      </c>
      <c r="AI23" s="38" t="s">
        <v>151</v>
      </c>
      <c r="AJ23" s="38" t="s">
        <v>151</v>
      </c>
      <c r="AK23" s="45" t="s">
        <v>190</v>
      </c>
      <c r="AL23" s="38" t="s">
        <v>151</v>
      </c>
      <c r="AM23" s="38" t="s">
        <v>151</v>
      </c>
      <c r="AN23" s="38" t="s">
        <v>151</v>
      </c>
      <c r="AO23" s="38" t="s">
        <v>151</v>
      </c>
      <c r="AP23" s="38" t="s">
        <v>151</v>
      </c>
      <c r="AQ23" s="38" t="s">
        <v>151</v>
      </c>
      <c r="AR23" s="38" t="s">
        <v>151</v>
      </c>
    </row>
    <row r="24">
      <c r="A24" s="1" t="str">
        <f>IFERROR(__xludf.DUMMYFUNCTION("""COMPUTED_VALUE"""),"Civil Warrior")</f>
        <v>Civil Warrior</v>
      </c>
      <c r="B24" s="38" t="s">
        <v>151</v>
      </c>
      <c r="C24" s="38" t="s">
        <v>151</v>
      </c>
      <c r="D24" s="38" t="s">
        <v>151</v>
      </c>
      <c r="E24" s="38" t="s">
        <v>151</v>
      </c>
      <c r="F24" s="38" t="s">
        <v>151</v>
      </c>
      <c r="G24" s="38" t="s">
        <v>151</v>
      </c>
      <c r="H24" s="38" t="s">
        <v>151</v>
      </c>
      <c r="I24" s="38" t="s">
        <v>151</v>
      </c>
      <c r="J24" s="38" t="s">
        <v>151</v>
      </c>
      <c r="K24" s="38" t="s">
        <v>151</v>
      </c>
      <c r="L24" s="38" t="s">
        <v>151</v>
      </c>
      <c r="M24" s="38" t="s">
        <v>151</v>
      </c>
      <c r="N24" s="38" t="s">
        <v>151</v>
      </c>
      <c r="O24" s="38" t="s">
        <v>151</v>
      </c>
      <c r="P24" s="38" t="s">
        <v>151</v>
      </c>
      <c r="Q24" s="38" t="s">
        <v>151</v>
      </c>
      <c r="R24" s="38" t="s">
        <v>151</v>
      </c>
      <c r="S24" s="38" t="s">
        <v>151</v>
      </c>
      <c r="T24" s="38" t="s">
        <v>151</v>
      </c>
      <c r="U24" s="38" t="s">
        <v>151</v>
      </c>
      <c r="V24" s="38" t="s">
        <v>151</v>
      </c>
      <c r="W24" s="38" t="s">
        <v>151</v>
      </c>
      <c r="X24" s="38" t="s">
        <v>151</v>
      </c>
      <c r="Y24" s="38" t="s">
        <v>151</v>
      </c>
      <c r="Z24" s="45" t="s">
        <v>190</v>
      </c>
      <c r="AA24" s="38" t="s">
        <v>151</v>
      </c>
      <c r="AB24" s="38" t="s">
        <v>151</v>
      </c>
      <c r="AC24" s="38" t="s">
        <v>151</v>
      </c>
      <c r="AD24" s="38" t="s">
        <v>151</v>
      </c>
      <c r="AE24" s="38" t="s">
        <v>151</v>
      </c>
      <c r="AF24" s="38" t="s">
        <v>151</v>
      </c>
      <c r="AG24" s="38" t="s">
        <v>151</v>
      </c>
      <c r="AH24" s="38" t="s">
        <v>151</v>
      </c>
      <c r="AI24" s="38" t="s">
        <v>151</v>
      </c>
      <c r="AJ24" s="38" t="s">
        <v>151</v>
      </c>
      <c r="AK24" s="38" t="s">
        <v>151</v>
      </c>
      <c r="AL24" s="38" t="s">
        <v>151</v>
      </c>
      <c r="AM24" s="38" t="s">
        <v>151</v>
      </c>
      <c r="AN24" s="38" t="s">
        <v>151</v>
      </c>
      <c r="AO24" s="45" t="s">
        <v>190</v>
      </c>
      <c r="AP24" s="38" t="s">
        <v>151</v>
      </c>
      <c r="AQ24" s="38" t="s">
        <v>151</v>
      </c>
      <c r="AR24" s="38" t="s">
        <v>151</v>
      </c>
    </row>
    <row r="25">
      <c r="A25" s="1" t="str">
        <f>IFERROR(__xludf.DUMMYFUNCTION("""COMPUTED_VALUE"""),"Colossus")</f>
        <v>Colossus</v>
      </c>
      <c r="B25" s="38" t="s">
        <v>151</v>
      </c>
      <c r="C25" s="45" t="s">
        <v>190</v>
      </c>
      <c r="D25" s="45" t="s">
        <v>190</v>
      </c>
      <c r="E25" s="38" t="s">
        <v>151</v>
      </c>
      <c r="F25" s="45" t="s">
        <v>190</v>
      </c>
      <c r="G25" s="38" t="s">
        <v>151</v>
      </c>
      <c r="H25" s="45" t="s">
        <v>190</v>
      </c>
      <c r="I25" s="38" t="s">
        <v>151</v>
      </c>
      <c r="J25" s="38" t="s">
        <v>151</v>
      </c>
      <c r="K25" s="38" t="s">
        <v>151</v>
      </c>
      <c r="L25" s="38" t="s">
        <v>151</v>
      </c>
      <c r="M25" s="38" t="s">
        <v>151</v>
      </c>
      <c r="N25" s="38" t="s">
        <v>151</v>
      </c>
      <c r="O25" s="38" t="s">
        <v>151</v>
      </c>
      <c r="P25" s="38" t="s">
        <v>151</v>
      </c>
      <c r="Q25" s="38" t="s">
        <v>151</v>
      </c>
      <c r="R25" s="45" t="s">
        <v>190</v>
      </c>
      <c r="S25" s="38" t="s">
        <v>151</v>
      </c>
      <c r="T25" s="45" t="s">
        <v>190</v>
      </c>
      <c r="U25" s="38" t="s">
        <v>151</v>
      </c>
      <c r="V25" s="38" t="s">
        <v>151</v>
      </c>
      <c r="W25" s="38" t="s">
        <v>151</v>
      </c>
      <c r="X25" s="38" t="s">
        <v>151</v>
      </c>
      <c r="Y25" s="38" t="s">
        <v>151</v>
      </c>
      <c r="Z25" s="38" t="s">
        <v>151</v>
      </c>
      <c r="AA25" s="38" t="s">
        <v>151</v>
      </c>
      <c r="AB25" s="38" t="s">
        <v>151</v>
      </c>
      <c r="AC25" s="38" t="s">
        <v>151</v>
      </c>
      <c r="AD25" s="38" t="s">
        <v>151</v>
      </c>
      <c r="AE25" s="38" t="s">
        <v>151</v>
      </c>
      <c r="AF25" s="38" t="s">
        <v>151</v>
      </c>
      <c r="AG25" s="38" t="s">
        <v>151</v>
      </c>
      <c r="AH25" s="38" t="s">
        <v>151</v>
      </c>
      <c r="AI25" s="38" t="s">
        <v>151</v>
      </c>
      <c r="AJ25" s="38" t="s">
        <v>151</v>
      </c>
      <c r="AK25" s="38" t="s">
        <v>151</v>
      </c>
      <c r="AL25" s="38" t="s">
        <v>151</v>
      </c>
      <c r="AM25" s="38" t="s">
        <v>151</v>
      </c>
      <c r="AN25" s="38" t="s">
        <v>151</v>
      </c>
      <c r="AO25" s="38" t="s">
        <v>151</v>
      </c>
      <c r="AP25" s="38" t="s">
        <v>151</v>
      </c>
      <c r="AQ25" s="38" t="s">
        <v>151</v>
      </c>
      <c r="AR25" s="38" t="s">
        <v>151</v>
      </c>
    </row>
    <row r="26">
      <c r="A26" s="1" t="str">
        <f>IFERROR(__xludf.DUMMYFUNCTION("""COMPUTED_VALUE"""),"Cosmic Ghost Rider")</f>
        <v>Cosmic Ghost Rider</v>
      </c>
      <c r="B26" s="38" t="s">
        <v>151</v>
      </c>
      <c r="C26" s="38" t="s">
        <v>151</v>
      </c>
      <c r="D26" s="38" t="s">
        <v>151</v>
      </c>
      <c r="E26" s="38" t="s">
        <v>151</v>
      </c>
      <c r="F26" s="45" t="s">
        <v>190</v>
      </c>
      <c r="G26" s="38" t="s">
        <v>151</v>
      </c>
      <c r="H26" s="38" t="s">
        <v>151</v>
      </c>
      <c r="I26" s="38" t="s">
        <v>151</v>
      </c>
      <c r="J26" s="38" t="s">
        <v>151</v>
      </c>
      <c r="K26" s="38" t="s">
        <v>151</v>
      </c>
      <c r="L26" s="38" t="s">
        <v>151</v>
      </c>
      <c r="M26" s="38" t="s">
        <v>151</v>
      </c>
      <c r="N26" s="38" t="s">
        <v>151</v>
      </c>
      <c r="O26" s="38" t="s">
        <v>151</v>
      </c>
      <c r="P26" s="38" t="s">
        <v>151</v>
      </c>
      <c r="Q26" s="38" t="s">
        <v>151</v>
      </c>
      <c r="R26" s="38" t="s">
        <v>151</v>
      </c>
      <c r="S26" s="38" t="s">
        <v>151</v>
      </c>
      <c r="T26" s="45" t="s">
        <v>190</v>
      </c>
      <c r="U26" s="38" t="s">
        <v>151</v>
      </c>
      <c r="V26" s="38" t="s">
        <v>151</v>
      </c>
      <c r="W26" s="38" t="s">
        <v>151</v>
      </c>
      <c r="X26" s="38" t="s">
        <v>151</v>
      </c>
      <c r="Y26" s="38" t="s">
        <v>151</v>
      </c>
      <c r="Z26" s="38" t="s">
        <v>151</v>
      </c>
      <c r="AA26" s="38" t="s">
        <v>151</v>
      </c>
      <c r="AB26" s="38" t="s">
        <v>151</v>
      </c>
      <c r="AC26" s="38" t="s">
        <v>151</v>
      </c>
      <c r="AD26" s="38" t="s">
        <v>151</v>
      </c>
      <c r="AE26" s="38" t="s">
        <v>151</v>
      </c>
      <c r="AF26" s="38" t="s">
        <v>151</v>
      </c>
      <c r="AG26" s="38" t="s">
        <v>151</v>
      </c>
      <c r="AH26" s="38" t="s">
        <v>151</v>
      </c>
      <c r="AI26" s="38" t="s">
        <v>151</v>
      </c>
      <c r="AJ26" s="38" t="s">
        <v>151</v>
      </c>
      <c r="AK26" s="38" t="s">
        <v>151</v>
      </c>
      <c r="AL26" s="38" t="s">
        <v>151</v>
      </c>
      <c r="AM26" s="38" t="s">
        <v>151</v>
      </c>
      <c r="AN26" s="38" t="s">
        <v>151</v>
      </c>
      <c r="AO26" s="38" t="s">
        <v>151</v>
      </c>
      <c r="AP26" s="38" t="s">
        <v>151</v>
      </c>
      <c r="AQ26" s="38" t="s">
        <v>151</v>
      </c>
      <c r="AR26" s="38" t="s">
        <v>151</v>
      </c>
    </row>
    <row r="27">
      <c r="A27" s="1" t="str">
        <f>IFERROR(__xludf.DUMMYFUNCTION("""COMPUTED_VALUE"""),"Count Nefaria")</f>
        <v>Count Nefaria</v>
      </c>
      <c r="B27" s="38" t="s">
        <v>151</v>
      </c>
      <c r="C27" s="38" t="s">
        <v>151</v>
      </c>
      <c r="D27" s="38" t="s">
        <v>151</v>
      </c>
      <c r="E27" s="38" t="s">
        <v>151</v>
      </c>
      <c r="F27" s="45" t="s">
        <v>190</v>
      </c>
      <c r="G27" s="38" t="s">
        <v>151</v>
      </c>
      <c r="H27" s="38" t="s">
        <v>151</v>
      </c>
      <c r="I27" s="38" t="s">
        <v>151</v>
      </c>
      <c r="J27" s="38" t="s">
        <v>151</v>
      </c>
      <c r="K27" s="38" t="s">
        <v>151</v>
      </c>
      <c r="L27" s="38" t="s">
        <v>151</v>
      </c>
      <c r="M27" s="38" t="s">
        <v>151</v>
      </c>
      <c r="N27" s="38" t="s">
        <v>151</v>
      </c>
      <c r="O27" s="38" t="s">
        <v>151</v>
      </c>
      <c r="P27" s="38" t="s">
        <v>151</v>
      </c>
      <c r="Q27" s="38" t="s">
        <v>151</v>
      </c>
      <c r="R27" s="38" t="s">
        <v>151</v>
      </c>
      <c r="S27" s="38" t="s">
        <v>151</v>
      </c>
      <c r="T27" s="38" t="s">
        <v>151</v>
      </c>
      <c r="U27" s="38" t="s">
        <v>151</v>
      </c>
      <c r="V27" s="38" t="s">
        <v>151</v>
      </c>
      <c r="W27" s="38" t="s">
        <v>151</v>
      </c>
      <c r="X27" s="38" t="s">
        <v>151</v>
      </c>
      <c r="Y27" s="38" t="s">
        <v>151</v>
      </c>
      <c r="Z27" s="38" t="s">
        <v>151</v>
      </c>
      <c r="AA27" s="38" t="s">
        <v>151</v>
      </c>
      <c r="AB27" s="38" t="s">
        <v>151</v>
      </c>
      <c r="AC27" s="38" t="s">
        <v>151</v>
      </c>
      <c r="AD27" s="38" t="s">
        <v>151</v>
      </c>
      <c r="AE27" s="38" t="s">
        <v>151</v>
      </c>
      <c r="AF27" s="45" t="s">
        <v>190</v>
      </c>
      <c r="AG27" s="38" t="s">
        <v>151</v>
      </c>
      <c r="AH27" s="38" t="s">
        <v>151</v>
      </c>
      <c r="AI27" s="38" t="s">
        <v>151</v>
      </c>
      <c r="AJ27" s="38" t="s">
        <v>151</v>
      </c>
      <c r="AK27" s="38" t="s">
        <v>151</v>
      </c>
      <c r="AL27" s="38" t="s">
        <v>151</v>
      </c>
      <c r="AM27" s="38" t="s">
        <v>151</v>
      </c>
      <c r="AN27" s="38" t="s">
        <v>151</v>
      </c>
      <c r="AO27" s="38" t="s">
        <v>151</v>
      </c>
      <c r="AP27" s="38" t="s">
        <v>151</v>
      </c>
      <c r="AQ27" s="38" t="s">
        <v>151</v>
      </c>
      <c r="AR27" s="38" t="s">
        <v>151</v>
      </c>
    </row>
    <row r="28">
      <c r="A28" s="1" t="str">
        <f>IFERROR(__xludf.DUMMYFUNCTION("""COMPUTED_VALUE"""),"Crossbones")</f>
        <v>Crossbones</v>
      </c>
      <c r="B28" s="38" t="s">
        <v>151</v>
      </c>
      <c r="C28" s="38" t="s">
        <v>151</v>
      </c>
      <c r="D28" s="38" t="s">
        <v>151</v>
      </c>
      <c r="E28" s="38" t="s">
        <v>151</v>
      </c>
      <c r="F28" s="38" t="s">
        <v>151</v>
      </c>
      <c r="G28" s="38" t="s">
        <v>151</v>
      </c>
      <c r="H28" s="38" t="s">
        <v>151</v>
      </c>
      <c r="I28" s="38" t="s">
        <v>151</v>
      </c>
      <c r="J28" s="38" t="s">
        <v>151</v>
      </c>
      <c r="K28" s="38" t="s">
        <v>151</v>
      </c>
      <c r="L28" s="38" t="s">
        <v>151</v>
      </c>
      <c r="M28" s="38" t="s">
        <v>151</v>
      </c>
      <c r="N28" s="38" t="s">
        <v>151</v>
      </c>
      <c r="O28" s="38" t="s">
        <v>151</v>
      </c>
      <c r="P28" s="38" t="s">
        <v>151</v>
      </c>
      <c r="Q28" s="38" t="s">
        <v>151</v>
      </c>
      <c r="R28" s="38" t="s">
        <v>151</v>
      </c>
      <c r="S28" s="38" t="s">
        <v>151</v>
      </c>
      <c r="T28" s="38" t="s">
        <v>151</v>
      </c>
      <c r="U28" s="38" t="s">
        <v>151</v>
      </c>
      <c r="V28" s="38" t="s">
        <v>151</v>
      </c>
      <c r="W28" s="38" t="s">
        <v>151</v>
      </c>
      <c r="X28" s="38" t="s">
        <v>151</v>
      </c>
      <c r="Y28" s="38" t="s">
        <v>151</v>
      </c>
      <c r="Z28" s="45" t="s">
        <v>190</v>
      </c>
      <c r="AA28" s="38" t="s">
        <v>151</v>
      </c>
      <c r="AB28" s="38" t="s">
        <v>151</v>
      </c>
      <c r="AC28" s="38" t="s">
        <v>151</v>
      </c>
      <c r="AD28" s="38" t="s">
        <v>151</v>
      </c>
      <c r="AE28" s="38" t="s">
        <v>151</v>
      </c>
      <c r="AF28" s="38" t="s">
        <v>151</v>
      </c>
      <c r="AG28" s="38" t="s">
        <v>151</v>
      </c>
      <c r="AH28" s="38" t="s">
        <v>151</v>
      </c>
      <c r="AI28" s="38" t="s">
        <v>151</v>
      </c>
      <c r="AJ28" s="38" t="s">
        <v>151</v>
      </c>
      <c r="AK28" s="38" t="s">
        <v>151</v>
      </c>
      <c r="AL28" s="38" t="s">
        <v>151</v>
      </c>
      <c r="AM28" s="38" t="s">
        <v>151</v>
      </c>
      <c r="AN28" s="38" t="s">
        <v>151</v>
      </c>
      <c r="AO28" s="45" t="s">
        <v>190</v>
      </c>
      <c r="AP28" s="38" t="s">
        <v>151</v>
      </c>
      <c r="AQ28" s="38" t="s">
        <v>151</v>
      </c>
      <c r="AR28" s="38" t="s">
        <v>151</v>
      </c>
    </row>
    <row r="29">
      <c r="A29" s="1" t="str">
        <f>IFERROR(__xludf.DUMMYFUNCTION("""COMPUTED_VALUE"""),"Daredevil (Hell's Kitchen)")</f>
        <v>Daredevil (Hell's Kitchen)</v>
      </c>
      <c r="B29" s="38" t="s">
        <v>151</v>
      </c>
      <c r="C29" s="38" t="s">
        <v>151</v>
      </c>
      <c r="D29" s="38" t="s">
        <v>151</v>
      </c>
      <c r="E29" s="38" t="s">
        <v>151</v>
      </c>
      <c r="F29" s="38" t="s">
        <v>151</v>
      </c>
      <c r="G29" s="38" t="s">
        <v>151</v>
      </c>
      <c r="H29" s="38" t="s">
        <v>151</v>
      </c>
      <c r="I29" s="38" t="s">
        <v>151</v>
      </c>
      <c r="J29" s="38" t="s">
        <v>151</v>
      </c>
      <c r="K29" s="38" t="s">
        <v>151</v>
      </c>
      <c r="L29" s="38" t="s">
        <v>151</v>
      </c>
      <c r="M29" s="38" t="s">
        <v>151</v>
      </c>
      <c r="N29" s="38" t="s">
        <v>151</v>
      </c>
      <c r="O29" s="38" t="s">
        <v>151</v>
      </c>
      <c r="P29" s="38" t="s">
        <v>151</v>
      </c>
      <c r="Q29" s="38" t="s">
        <v>151</v>
      </c>
      <c r="R29" s="38" t="s">
        <v>151</v>
      </c>
      <c r="S29" s="38" t="s">
        <v>151</v>
      </c>
      <c r="T29" s="38" t="s">
        <v>151</v>
      </c>
      <c r="U29" s="38" t="s">
        <v>151</v>
      </c>
      <c r="V29" s="38" t="s">
        <v>151</v>
      </c>
      <c r="W29" s="38" t="s">
        <v>151</v>
      </c>
      <c r="X29" s="38" t="s">
        <v>151</v>
      </c>
      <c r="Y29" s="38" t="s">
        <v>151</v>
      </c>
      <c r="Z29" s="38" t="s">
        <v>151</v>
      </c>
      <c r="AA29" s="45" t="s">
        <v>190</v>
      </c>
      <c r="AB29" s="38" t="s">
        <v>151</v>
      </c>
      <c r="AC29" s="38" t="s">
        <v>151</v>
      </c>
      <c r="AD29" s="38" t="s">
        <v>151</v>
      </c>
      <c r="AE29" s="38" t="s">
        <v>151</v>
      </c>
      <c r="AF29" s="38" t="s">
        <v>151</v>
      </c>
      <c r="AG29" s="38" t="s">
        <v>151</v>
      </c>
      <c r="AH29" s="38" t="s">
        <v>151</v>
      </c>
      <c r="AI29" s="38" t="s">
        <v>151</v>
      </c>
      <c r="AJ29" s="38" t="s">
        <v>151</v>
      </c>
      <c r="AK29" s="38" t="s">
        <v>151</v>
      </c>
      <c r="AL29" s="38" t="s">
        <v>151</v>
      </c>
      <c r="AM29" s="38" t="s">
        <v>151</v>
      </c>
      <c r="AN29" s="38" t="s">
        <v>151</v>
      </c>
      <c r="AO29" s="38" t="s">
        <v>151</v>
      </c>
      <c r="AP29" s="38" t="s">
        <v>151</v>
      </c>
      <c r="AQ29" s="38" t="s">
        <v>151</v>
      </c>
      <c r="AR29" s="38" t="s">
        <v>151</v>
      </c>
    </row>
    <row r="30">
      <c r="A30" s="1" t="str">
        <f>IFERROR(__xludf.DUMMYFUNCTION("""COMPUTED_VALUE"""),"Dark Phoenix")</f>
        <v>Dark Phoenix</v>
      </c>
      <c r="B30" s="38" t="s">
        <v>151</v>
      </c>
      <c r="C30" s="38" t="s">
        <v>151</v>
      </c>
      <c r="D30" s="38" t="s">
        <v>151</v>
      </c>
      <c r="E30" s="38" t="s">
        <v>151</v>
      </c>
      <c r="F30" s="38" t="s">
        <v>151</v>
      </c>
      <c r="G30" s="38" t="s">
        <v>151</v>
      </c>
      <c r="H30" s="38" t="s">
        <v>151</v>
      </c>
      <c r="I30" s="38" t="s">
        <v>151</v>
      </c>
      <c r="J30" s="38" t="s">
        <v>151</v>
      </c>
      <c r="K30" s="38" t="s">
        <v>151</v>
      </c>
      <c r="L30" s="38" t="s">
        <v>151</v>
      </c>
      <c r="M30" s="38" t="s">
        <v>151</v>
      </c>
      <c r="N30" s="38" t="s">
        <v>151</v>
      </c>
      <c r="O30" s="38" t="s">
        <v>151</v>
      </c>
      <c r="P30" s="38" t="s">
        <v>151</v>
      </c>
      <c r="Q30" s="38" t="s">
        <v>151</v>
      </c>
      <c r="R30" s="38" t="s">
        <v>151</v>
      </c>
      <c r="S30" s="38" t="s">
        <v>151</v>
      </c>
      <c r="T30" s="45" t="s">
        <v>190</v>
      </c>
      <c r="U30" s="38" t="s">
        <v>151</v>
      </c>
      <c r="V30" s="38" t="s">
        <v>151</v>
      </c>
      <c r="W30" s="38" t="s">
        <v>151</v>
      </c>
      <c r="X30" s="38" t="s">
        <v>151</v>
      </c>
      <c r="Y30" s="45" t="s">
        <v>190</v>
      </c>
      <c r="Z30" s="38" t="s">
        <v>151</v>
      </c>
      <c r="AA30" s="38" t="s">
        <v>151</v>
      </c>
      <c r="AB30" s="38" t="s">
        <v>151</v>
      </c>
      <c r="AC30" s="38" t="s">
        <v>151</v>
      </c>
      <c r="AD30" s="45" t="s">
        <v>190</v>
      </c>
      <c r="AE30" s="38" t="s">
        <v>151</v>
      </c>
      <c r="AF30" s="38" t="s">
        <v>151</v>
      </c>
      <c r="AG30" s="38" t="s">
        <v>151</v>
      </c>
      <c r="AH30" s="38" t="s">
        <v>151</v>
      </c>
      <c r="AI30" s="38" t="s">
        <v>151</v>
      </c>
      <c r="AJ30" s="38" t="s">
        <v>151</v>
      </c>
      <c r="AK30" s="38" t="s">
        <v>151</v>
      </c>
      <c r="AL30" s="38" t="s">
        <v>151</v>
      </c>
      <c r="AM30" s="38" t="s">
        <v>151</v>
      </c>
      <c r="AN30" s="38" t="s">
        <v>151</v>
      </c>
      <c r="AO30" s="38" t="s">
        <v>151</v>
      </c>
      <c r="AP30" s="38" t="s">
        <v>151</v>
      </c>
      <c r="AQ30" s="38" t="s">
        <v>151</v>
      </c>
      <c r="AR30" s="38" t="s">
        <v>151</v>
      </c>
    </row>
    <row r="31">
      <c r="A31" s="1" t="str">
        <f>IFERROR(__xludf.DUMMYFUNCTION("""COMPUTED_VALUE"""),"Darkhawk")</f>
        <v>Darkhawk</v>
      </c>
      <c r="B31" s="38" t="s">
        <v>151</v>
      </c>
      <c r="C31" s="38" t="s">
        <v>151</v>
      </c>
      <c r="D31" s="38" t="s">
        <v>151</v>
      </c>
      <c r="E31" s="38" t="s">
        <v>151</v>
      </c>
      <c r="F31" s="45" t="s">
        <v>190</v>
      </c>
      <c r="G31" s="38" t="s">
        <v>151</v>
      </c>
      <c r="H31" s="38" t="s">
        <v>151</v>
      </c>
      <c r="I31" s="38" t="s">
        <v>151</v>
      </c>
      <c r="J31" s="38" t="s">
        <v>151</v>
      </c>
      <c r="K31" s="38" t="s">
        <v>151</v>
      </c>
      <c r="L31" s="38" t="s">
        <v>151</v>
      </c>
      <c r="M31" s="38" t="s">
        <v>151</v>
      </c>
      <c r="N31" s="38" t="s">
        <v>151</v>
      </c>
      <c r="O31" s="38" t="s">
        <v>151</v>
      </c>
      <c r="P31" s="38" t="s">
        <v>151</v>
      </c>
      <c r="Q31" s="38" t="s">
        <v>151</v>
      </c>
      <c r="R31" s="38" t="s">
        <v>151</v>
      </c>
      <c r="S31" s="38" t="s">
        <v>151</v>
      </c>
      <c r="T31" s="38" t="s">
        <v>151</v>
      </c>
      <c r="U31" s="38" t="s">
        <v>151</v>
      </c>
      <c r="V31" s="38" t="s">
        <v>151</v>
      </c>
      <c r="W31" s="38" t="s">
        <v>151</v>
      </c>
      <c r="X31" s="38" t="s">
        <v>151</v>
      </c>
      <c r="Y31" s="38" t="s">
        <v>151</v>
      </c>
      <c r="Z31" s="38" t="s">
        <v>151</v>
      </c>
      <c r="AA31" s="38" t="s">
        <v>151</v>
      </c>
      <c r="AB31" s="45" t="s">
        <v>190</v>
      </c>
      <c r="AC31" s="38" t="s">
        <v>151</v>
      </c>
      <c r="AD31" s="38" t="s">
        <v>151</v>
      </c>
      <c r="AE31" s="38" t="s">
        <v>151</v>
      </c>
      <c r="AF31" s="38" t="s">
        <v>151</v>
      </c>
      <c r="AG31" s="38" t="s">
        <v>151</v>
      </c>
      <c r="AH31" s="38" t="s">
        <v>151</v>
      </c>
      <c r="AI31" s="38" t="s">
        <v>151</v>
      </c>
      <c r="AJ31" s="38" t="s">
        <v>151</v>
      </c>
      <c r="AK31" s="38" t="s">
        <v>151</v>
      </c>
      <c r="AL31" s="38" t="s">
        <v>151</v>
      </c>
      <c r="AM31" s="38" t="s">
        <v>151</v>
      </c>
      <c r="AN31" s="38" t="s">
        <v>151</v>
      </c>
      <c r="AO31" s="38" t="s">
        <v>151</v>
      </c>
      <c r="AP31" s="38" t="s">
        <v>151</v>
      </c>
      <c r="AQ31" s="38" t="s">
        <v>151</v>
      </c>
      <c r="AR31" s="38" t="s">
        <v>151</v>
      </c>
    </row>
    <row r="32">
      <c r="A32" s="1" t="str">
        <f>IFERROR(__xludf.DUMMYFUNCTION("""COMPUTED_VALUE"""),"Dazzler")</f>
        <v>Dazzler</v>
      </c>
      <c r="B32" s="38" t="s">
        <v>151</v>
      </c>
      <c r="C32" s="38" t="s">
        <v>151</v>
      </c>
      <c r="D32" s="38" t="s">
        <v>151</v>
      </c>
      <c r="E32" s="45" t="s">
        <v>190</v>
      </c>
      <c r="F32" s="38" t="s">
        <v>151</v>
      </c>
      <c r="G32" s="38" t="s">
        <v>151</v>
      </c>
      <c r="H32" s="38" t="s">
        <v>151</v>
      </c>
      <c r="I32" s="38" t="s">
        <v>151</v>
      </c>
      <c r="J32" s="38" t="s">
        <v>151</v>
      </c>
      <c r="K32" s="38" t="s">
        <v>151</v>
      </c>
      <c r="L32" s="38" t="s">
        <v>151</v>
      </c>
      <c r="M32" s="38" t="s">
        <v>151</v>
      </c>
      <c r="N32" s="38" t="s">
        <v>151</v>
      </c>
      <c r="O32" s="38" t="s">
        <v>151</v>
      </c>
      <c r="P32" s="38" t="s">
        <v>151</v>
      </c>
      <c r="Q32" s="38" t="s">
        <v>151</v>
      </c>
      <c r="R32" s="38" t="s">
        <v>151</v>
      </c>
      <c r="S32" s="38" t="s">
        <v>151</v>
      </c>
      <c r="T32" s="45" t="s">
        <v>190</v>
      </c>
      <c r="U32" s="38" t="s">
        <v>151</v>
      </c>
      <c r="V32" s="38" t="s">
        <v>151</v>
      </c>
      <c r="W32" s="38" t="s">
        <v>151</v>
      </c>
      <c r="X32" s="38" t="s">
        <v>151</v>
      </c>
      <c r="Y32" s="38" t="s">
        <v>151</v>
      </c>
      <c r="Z32" s="45" t="s">
        <v>190</v>
      </c>
      <c r="AA32" s="38" t="s">
        <v>151</v>
      </c>
      <c r="AB32" s="38" t="s">
        <v>151</v>
      </c>
      <c r="AC32" s="38" t="s">
        <v>151</v>
      </c>
      <c r="AD32" s="38" t="s">
        <v>151</v>
      </c>
      <c r="AE32" s="38" t="s">
        <v>151</v>
      </c>
      <c r="AF32" s="38" t="s">
        <v>151</v>
      </c>
      <c r="AG32" s="38" t="s">
        <v>151</v>
      </c>
      <c r="AH32" s="38" t="s">
        <v>151</v>
      </c>
      <c r="AI32" s="38" t="s">
        <v>151</v>
      </c>
      <c r="AJ32" s="38" t="s">
        <v>151</v>
      </c>
      <c r="AK32" s="38" t="s">
        <v>151</v>
      </c>
      <c r="AL32" s="38" t="s">
        <v>151</v>
      </c>
      <c r="AM32" s="38" t="s">
        <v>151</v>
      </c>
      <c r="AN32" s="38" t="s">
        <v>151</v>
      </c>
      <c r="AO32" s="38" t="s">
        <v>151</v>
      </c>
      <c r="AP32" s="38" t="s">
        <v>151</v>
      </c>
      <c r="AQ32" s="38" t="s">
        <v>151</v>
      </c>
      <c r="AR32" s="38" t="s">
        <v>151</v>
      </c>
    </row>
    <row r="33">
      <c r="A33" s="1" t="str">
        <f>IFERROR(__xludf.DUMMYFUNCTION("""COMPUTED_VALUE"""),"Diablo")</f>
        <v>Diablo</v>
      </c>
      <c r="B33" s="38" t="s">
        <v>151</v>
      </c>
      <c r="C33" s="45" t="s">
        <v>190</v>
      </c>
      <c r="D33" s="38" t="s">
        <v>151</v>
      </c>
      <c r="E33" s="38" t="s">
        <v>151</v>
      </c>
      <c r="F33" s="38" t="s">
        <v>151</v>
      </c>
      <c r="G33" s="38" t="s">
        <v>151</v>
      </c>
      <c r="H33" s="38" t="s">
        <v>151</v>
      </c>
      <c r="I33" s="38" t="s">
        <v>151</v>
      </c>
      <c r="J33" s="38" t="s">
        <v>151</v>
      </c>
      <c r="K33" s="38" t="s">
        <v>151</v>
      </c>
      <c r="L33" s="38" t="s">
        <v>151</v>
      </c>
      <c r="M33" s="38" t="s">
        <v>151</v>
      </c>
      <c r="N33" s="38" t="s">
        <v>151</v>
      </c>
      <c r="O33" s="38" t="s">
        <v>151</v>
      </c>
      <c r="P33" s="38" t="s">
        <v>151</v>
      </c>
      <c r="Q33" s="38" t="s">
        <v>151</v>
      </c>
      <c r="R33" s="38" t="s">
        <v>151</v>
      </c>
      <c r="S33" s="38" t="s">
        <v>151</v>
      </c>
      <c r="T33" s="38" t="s">
        <v>151</v>
      </c>
      <c r="U33" s="38" t="s">
        <v>151</v>
      </c>
      <c r="V33" s="38" t="s">
        <v>151</v>
      </c>
      <c r="W33" s="38" t="s">
        <v>151</v>
      </c>
      <c r="X33" s="38" t="s">
        <v>151</v>
      </c>
      <c r="Y33" s="38" t="s">
        <v>151</v>
      </c>
      <c r="Z33" s="38" t="s">
        <v>151</v>
      </c>
      <c r="AA33" s="38" t="s">
        <v>151</v>
      </c>
      <c r="AB33" s="38" t="s">
        <v>151</v>
      </c>
      <c r="AC33" s="38" t="s">
        <v>151</v>
      </c>
      <c r="AD33" s="38" t="s">
        <v>151</v>
      </c>
      <c r="AE33" s="38" t="s">
        <v>151</v>
      </c>
      <c r="AF33" s="38" t="s">
        <v>151</v>
      </c>
      <c r="AG33" s="38" t="s">
        <v>151</v>
      </c>
      <c r="AH33" s="38" t="s">
        <v>151</v>
      </c>
      <c r="AI33" s="38" t="s">
        <v>151</v>
      </c>
      <c r="AJ33" s="38" t="s">
        <v>151</v>
      </c>
      <c r="AK33" s="38" t="s">
        <v>151</v>
      </c>
      <c r="AL33" s="38" t="s">
        <v>151</v>
      </c>
      <c r="AM33" s="38" t="s">
        <v>151</v>
      </c>
      <c r="AN33" s="38" t="s">
        <v>151</v>
      </c>
      <c r="AO33" s="38" t="s">
        <v>151</v>
      </c>
      <c r="AP33" s="45" t="s">
        <v>190</v>
      </c>
      <c r="AQ33" s="38" t="s">
        <v>151</v>
      </c>
      <c r="AR33" s="38" t="s">
        <v>151</v>
      </c>
    </row>
    <row r="34">
      <c r="A34" s="1" t="str">
        <f>IFERROR(__xludf.DUMMYFUNCTION("""COMPUTED_VALUE"""),"Doctor Bong")</f>
        <v>Doctor Bong</v>
      </c>
      <c r="B34" s="38" t="s">
        <v>151</v>
      </c>
      <c r="C34" s="38" t="s">
        <v>151</v>
      </c>
      <c r="D34" s="38" t="s">
        <v>151</v>
      </c>
      <c r="E34" s="38" t="s">
        <v>151</v>
      </c>
      <c r="F34" s="38" t="s">
        <v>151</v>
      </c>
      <c r="G34" s="38" t="s">
        <v>151</v>
      </c>
      <c r="H34" s="38" t="s">
        <v>151</v>
      </c>
      <c r="I34" s="38" t="s">
        <v>151</v>
      </c>
      <c r="J34" s="38" t="s">
        <v>151</v>
      </c>
      <c r="K34" s="38" t="s">
        <v>151</v>
      </c>
      <c r="L34" s="38" t="s">
        <v>151</v>
      </c>
      <c r="M34" s="38" t="s">
        <v>151</v>
      </c>
      <c r="N34" s="38" t="s">
        <v>151</v>
      </c>
      <c r="O34" s="38" t="s">
        <v>151</v>
      </c>
      <c r="P34" s="38" t="s">
        <v>151</v>
      </c>
      <c r="Q34" s="38" t="s">
        <v>151</v>
      </c>
      <c r="R34" s="38" t="s">
        <v>151</v>
      </c>
      <c r="S34" s="38" t="s">
        <v>151</v>
      </c>
      <c r="T34" s="38" t="s">
        <v>151</v>
      </c>
      <c r="U34" s="38" t="s">
        <v>151</v>
      </c>
      <c r="V34" s="38" t="s">
        <v>151</v>
      </c>
      <c r="W34" s="38" t="s">
        <v>151</v>
      </c>
      <c r="X34" s="38" t="s">
        <v>151</v>
      </c>
      <c r="Y34" s="38" t="s">
        <v>151</v>
      </c>
      <c r="Z34" s="45" t="s">
        <v>190</v>
      </c>
      <c r="AA34" s="38" t="s">
        <v>151</v>
      </c>
      <c r="AB34" s="38" t="s">
        <v>151</v>
      </c>
      <c r="AC34" s="38" t="s">
        <v>151</v>
      </c>
      <c r="AD34" s="38" t="s">
        <v>151</v>
      </c>
      <c r="AE34" s="38" t="s">
        <v>151</v>
      </c>
      <c r="AF34" s="38" t="s">
        <v>151</v>
      </c>
      <c r="AG34" s="45" t="s">
        <v>190</v>
      </c>
      <c r="AH34" s="38" t="s">
        <v>151</v>
      </c>
      <c r="AI34" s="38" t="s">
        <v>151</v>
      </c>
      <c r="AJ34" s="38" t="s">
        <v>151</v>
      </c>
      <c r="AK34" s="38" t="s">
        <v>151</v>
      </c>
      <c r="AL34" s="38" t="s">
        <v>151</v>
      </c>
      <c r="AM34" s="38" t="s">
        <v>151</v>
      </c>
      <c r="AN34" s="38" t="s">
        <v>151</v>
      </c>
      <c r="AO34" s="38" t="s">
        <v>151</v>
      </c>
      <c r="AP34" s="38" t="s">
        <v>151</v>
      </c>
      <c r="AQ34" s="38" t="s">
        <v>151</v>
      </c>
      <c r="AR34" s="38" t="s">
        <v>151</v>
      </c>
    </row>
    <row r="35">
      <c r="A35" s="1" t="str">
        <f>IFERROR(__xludf.DUMMYFUNCTION("""COMPUTED_VALUE"""),"Doctor Doom")</f>
        <v>Doctor Doom</v>
      </c>
      <c r="B35" s="38" t="s">
        <v>151</v>
      </c>
      <c r="C35" s="45" t="s">
        <v>190</v>
      </c>
      <c r="D35" s="45" t="s">
        <v>190</v>
      </c>
      <c r="E35" s="38" t="s">
        <v>151</v>
      </c>
      <c r="F35" s="38" t="s">
        <v>151</v>
      </c>
      <c r="G35" s="38" t="s">
        <v>151</v>
      </c>
      <c r="H35" s="38" t="s">
        <v>151</v>
      </c>
      <c r="I35" s="38" t="s">
        <v>151</v>
      </c>
      <c r="J35" s="38" t="s">
        <v>151</v>
      </c>
      <c r="K35" s="38" t="s">
        <v>151</v>
      </c>
      <c r="L35" s="38" t="s">
        <v>151</v>
      </c>
      <c r="M35" s="38" t="s">
        <v>151</v>
      </c>
      <c r="N35" s="38" t="s">
        <v>151</v>
      </c>
      <c r="O35" s="38" t="s">
        <v>151</v>
      </c>
      <c r="P35" s="38" t="s">
        <v>151</v>
      </c>
      <c r="Q35" s="38" t="s">
        <v>151</v>
      </c>
      <c r="R35" s="38" t="s">
        <v>151</v>
      </c>
      <c r="S35" s="38" t="s">
        <v>151</v>
      </c>
      <c r="T35" s="38" t="s">
        <v>151</v>
      </c>
      <c r="U35" s="38" t="s">
        <v>151</v>
      </c>
      <c r="V35" s="38" t="s">
        <v>151</v>
      </c>
      <c r="W35" s="38" t="s">
        <v>151</v>
      </c>
      <c r="X35" s="38" t="s">
        <v>151</v>
      </c>
      <c r="Y35" s="38" t="s">
        <v>151</v>
      </c>
      <c r="Z35" s="38" t="s">
        <v>151</v>
      </c>
      <c r="AA35" s="38" t="s">
        <v>151</v>
      </c>
      <c r="AB35" s="38" t="s">
        <v>151</v>
      </c>
      <c r="AC35" s="38" t="s">
        <v>151</v>
      </c>
      <c r="AD35" s="38" t="s">
        <v>151</v>
      </c>
      <c r="AE35" s="38" t="s">
        <v>151</v>
      </c>
      <c r="AF35" s="38" t="s">
        <v>151</v>
      </c>
      <c r="AG35" s="38" t="s">
        <v>151</v>
      </c>
      <c r="AH35" s="38" t="s">
        <v>151</v>
      </c>
      <c r="AI35" s="38" t="s">
        <v>151</v>
      </c>
      <c r="AJ35" s="38" t="s">
        <v>151</v>
      </c>
      <c r="AK35" s="45" t="s">
        <v>190</v>
      </c>
      <c r="AL35" s="38" t="s">
        <v>151</v>
      </c>
      <c r="AM35" s="38" t="s">
        <v>151</v>
      </c>
      <c r="AN35" s="38" t="s">
        <v>151</v>
      </c>
      <c r="AO35" s="38" t="s">
        <v>151</v>
      </c>
      <c r="AP35" s="38" t="s">
        <v>151</v>
      </c>
      <c r="AQ35" s="38" t="s">
        <v>151</v>
      </c>
      <c r="AR35" s="38" t="s">
        <v>151</v>
      </c>
    </row>
    <row r="36">
      <c r="A36" s="1" t="str">
        <f>IFERROR(__xludf.DUMMYFUNCTION("""COMPUTED_VALUE"""),"Doctor Strange")</f>
        <v>Doctor Strange</v>
      </c>
      <c r="B36" s="38" t="s">
        <v>151</v>
      </c>
      <c r="C36" s="38" t="s">
        <v>151</v>
      </c>
      <c r="D36" s="38" t="s">
        <v>151</v>
      </c>
      <c r="E36" s="38" t="s">
        <v>151</v>
      </c>
      <c r="F36" s="38" t="s">
        <v>151</v>
      </c>
      <c r="G36" s="38" t="s">
        <v>151</v>
      </c>
      <c r="H36" s="45" t="s">
        <v>190</v>
      </c>
      <c r="I36" s="38" t="s">
        <v>151</v>
      </c>
      <c r="J36" s="38" t="s">
        <v>151</v>
      </c>
      <c r="K36" s="38" t="s">
        <v>151</v>
      </c>
      <c r="L36" s="38" t="s">
        <v>151</v>
      </c>
      <c r="M36" s="38" t="s">
        <v>151</v>
      </c>
      <c r="N36" s="38" t="s">
        <v>151</v>
      </c>
      <c r="O36" s="38" t="s">
        <v>151</v>
      </c>
      <c r="P36" s="38" t="s">
        <v>151</v>
      </c>
      <c r="Q36" s="38" t="s">
        <v>151</v>
      </c>
      <c r="R36" s="38" t="s">
        <v>151</v>
      </c>
      <c r="S36" s="38" t="s">
        <v>151</v>
      </c>
      <c r="T36" s="45" t="s">
        <v>190</v>
      </c>
      <c r="U36" s="38" t="s">
        <v>151</v>
      </c>
      <c r="V36" s="38" t="s">
        <v>151</v>
      </c>
      <c r="W36" s="38" t="s">
        <v>151</v>
      </c>
      <c r="X36" s="38" t="s">
        <v>151</v>
      </c>
      <c r="Y36" s="38" t="s">
        <v>151</v>
      </c>
      <c r="Z36" s="38" t="s">
        <v>151</v>
      </c>
      <c r="AA36" s="38" t="s">
        <v>151</v>
      </c>
      <c r="AB36" s="38" t="s">
        <v>151</v>
      </c>
      <c r="AC36" s="38" t="s">
        <v>151</v>
      </c>
      <c r="AD36" s="38" t="s">
        <v>151</v>
      </c>
      <c r="AE36" s="38" t="s">
        <v>151</v>
      </c>
      <c r="AF36" s="38" t="s">
        <v>151</v>
      </c>
      <c r="AG36" s="38" t="s">
        <v>151</v>
      </c>
      <c r="AH36" s="38" t="s">
        <v>151</v>
      </c>
      <c r="AI36" s="38" t="s">
        <v>151</v>
      </c>
      <c r="AJ36" s="38" t="s">
        <v>151</v>
      </c>
      <c r="AK36" s="38" t="s">
        <v>151</v>
      </c>
      <c r="AL36" s="38" t="s">
        <v>151</v>
      </c>
      <c r="AM36" s="38" t="s">
        <v>151</v>
      </c>
      <c r="AN36" s="38" t="s">
        <v>151</v>
      </c>
      <c r="AO36" s="38" t="s">
        <v>151</v>
      </c>
      <c r="AP36" s="38" t="s">
        <v>151</v>
      </c>
      <c r="AQ36" s="38" t="s">
        <v>151</v>
      </c>
      <c r="AR36" s="38" t="s">
        <v>151</v>
      </c>
    </row>
    <row r="37">
      <c r="A37" s="1" t="str">
        <f>IFERROR(__xludf.DUMMYFUNCTION("""COMPUTED_VALUE"""),"Doctor Voodoo")</f>
        <v>Doctor Voodoo</v>
      </c>
      <c r="B37" s="38" t="s">
        <v>151</v>
      </c>
      <c r="C37" s="38" t="s">
        <v>151</v>
      </c>
      <c r="D37" s="38" t="s">
        <v>151</v>
      </c>
      <c r="E37" s="38" t="s">
        <v>151</v>
      </c>
      <c r="F37" s="38" t="s">
        <v>151</v>
      </c>
      <c r="G37" s="38" t="s">
        <v>151</v>
      </c>
      <c r="H37" s="38" t="s">
        <v>151</v>
      </c>
      <c r="I37" s="38" t="s">
        <v>151</v>
      </c>
      <c r="J37" s="38" t="s">
        <v>151</v>
      </c>
      <c r="K37" s="38" t="s">
        <v>151</v>
      </c>
      <c r="L37" s="38" t="s">
        <v>151</v>
      </c>
      <c r="M37" s="38" t="s">
        <v>151</v>
      </c>
      <c r="N37" s="38" t="s">
        <v>151</v>
      </c>
      <c r="O37" s="38" t="s">
        <v>151</v>
      </c>
      <c r="P37" s="45" t="s">
        <v>190</v>
      </c>
      <c r="Q37" s="38" t="s">
        <v>151</v>
      </c>
      <c r="R37" s="38" t="s">
        <v>151</v>
      </c>
      <c r="S37" s="38" t="s">
        <v>151</v>
      </c>
      <c r="T37" s="38" t="s">
        <v>151</v>
      </c>
      <c r="U37" s="38" t="s">
        <v>151</v>
      </c>
      <c r="V37" s="38" t="s">
        <v>151</v>
      </c>
      <c r="W37" s="38" t="s">
        <v>151</v>
      </c>
      <c r="X37" s="38" t="s">
        <v>151</v>
      </c>
      <c r="Y37" s="38" t="s">
        <v>151</v>
      </c>
      <c r="Z37" s="45" t="s">
        <v>190</v>
      </c>
      <c r="AA37" s="38" t="s">
        <v>151</v>
      </c>
      <c r="AB37" s="38" t="s">
        <v>151</v>
      </c>
      <c r="AC37" s="38" t="s">
        <v>151</v>
      </c>
      <c r="AD37" s="38" t="s">
        <v>151</v>
      </c>
      <c r="AE37" s="38" t="s">
        <v>151</v>
      </c>
      <c r="AF37" s="38" t="s">
        <v>151</v>
      </c>
      <c r="AG37" s="38" t="s">
        <v>151</v>
      </c>
      <c r="AH37" s="38" t="s">
        <v>151</v>
      </c>
      <c r="AI37" s="38" t="s">
        <v>151</v>
      </c>
      <c r="AJ37" s="38" t="s">
        <v>151</v>
      </c>
      <c r="AK37" s="38" t="s">
        <v>151</v>
      </c>
      <c r="AL37" s="38" t="s">
        <v>151</v>
      </c>
      <c r="AM37" s="38" t="s">
        <v>151</v>
      </c>
      <c r="AN37" s="38" t="s">
        <v>151</v>
      </c>
      <c r="AO37" s="38" t="s">
        <v>151</v>
      </c>
      <c r="AP37" s="38" t="s">
        <v>151</v>
      </c>
      <c r="AQ37" s="38" t="s">
        <v>151</v>
      </c>
      <c r="AR37" s="38" t="s">
        <v>151</v>
      </c>
    </row>
    <row r="38">
      <c r="A38" s="1" t="str">
        <f>IFERROR(__xludf.DUMMYFUNCTION("""COMPUTED_VALUE"""),"Dormammu")</f>
        <v>Dormammu</v>
      </c>
      <c r="B38" s="38" t="s">
        <v>151</v>
      </c>
      <c r="C38" s="38" t="s">
        <v>151</v>
      </c>
      <c r="D38" s="38" t="s">
        <v>151</v>
      </c>
      <c r="E38" s="38" t="s">
        <v>151</v>
      </c>
      <c r="F38" s="45" t="s">
        <v>190</v>
      </c>
      <c r="G38" s="38" t="s">
        <v>151</v>
      </c>
      <c r="H38" s="45" t="s">
        <v>190</v>
      </c>
      <c r="I38" s="38" t="s">
        <v>151</v>
      </c>
      <c r="J38" s="38" t="s">
        <v>151</v>
      </c>
      <c r="K38" s="38" t="s">
        <v>151</v>
      </c>
      <c r="L38" s="38" t="s">
        <v>151</v>
      </c>
      <c r="M38" s="38" t="s">
        <v>151</v>
      </c>
      <c r="N38" s="38" t="s">
        <v>151</v>
      </c>
      <c r="O38" s="38" t="s">
        <v>151</v>
      </c>
      <c r="P38" s="38" t="s">
        <v>151</v>
      </c>
      <c r="Q38" s="38" t="s">
        <v>151</v>
      </c>
      <c r="R38" s="38" t="s">
        <v>151</v>
      </c>
      <c r="S38" s="38" t="s">
        <v>151</v>
      </c>
      <c r="T38" s="45" t="s">
        <v>190</v>
      </c>
      <c r="U38" s="38" t="s">
        <v>151</v>
      </c>
      <c r="V38" s="38" t="s">
        <v>151</v>
      </c>
      <c r="W38" s="38" t="s">
        <v>151</v>
      </c>
      <c r="X38" s="38" t="s">
        <v>151</v>
      </c>
      <c r="Y38" s="38" t="s">
        <v>151</v>
      </c>
      <c r="Z38" s="38" t="s">
        <v>151</v>
      </c>
      <c r="AA38" s="38" t="s">
        <v>151</v>
      </c>
      <c r="AB38" s="45" t="s">
        <v>190</v>
      </c>
      <c r="AC38" s="38" t="s">
        <v>151</v>
      </c>
      <c r="AD38" s="38" t="s">
        <v>151</v>
      </c>
      <c r="AE38" s="38" t="s">
        <v>151</v>
      </c>
      <c r="AF38" s="38" t="s">
        <v>151</v>
      </c>
      <c r="AG38" s="38" t="s">
        <v>151</v>
      </c>
      <c r="AH38" s="38" t="s">
        <v>151</v>
      </c>
      <c r="AI38" s="38" t="s">
        <v>151</v>
      </c>
      <c r="AJ38" s="38" t="s">
        <v>151</v>
      </c>
      <c r="AK38" s="38" t="s">
        <v>151</v>
      </c>
      <c r="AL38" s="38" t="s">
        <v>151</v>
      </c>
      <c r="AM38" s="38" t="s">
        <v>151</v>
      </c>
      <c r="AN38" s="38" t="s">
        <v>151</v>
      </c>
      <c r="AO38" s="38" t="s">
        <v>151</v>
      </c>
      <c r="AP38" s="38" t="s">
        <v>151</v>
      </c>
      <c r="AQ38" s="38" t="s">
        <v>151</v>
      </c>
      <c r="AR38" s="38" t="s">
        <v>151</v>
      </c>
    </row>
    <row r="39">
      <c r="A39" s="1" t="str">
        <f>IFERROR(__xludf.DUMMYFUNCTION("""COMPUTED_VALUE"""),"Dracula")</f>
        <v>Dracula</v>
      </c>
      <c r="B39" s="38" t="s">
        <v>151</v>
      </c>
      <c r="C39" s="38" t="s">
        <v>151</v>
      </c>
      <c r="D39" s="38" t="s">
        <v>151</v>
      </c>
      <c r="E39" s="38" t="s">
        <v>151</v>
      </c>
      <c r="F39" s="38" t="s">
        <v>151</v>
      </c>
      <c r="G39" s="38" t="s">
        <v>151</v>
      </c>
      <c r="H39" s="38" t="s">
        <v>151</v>
      </c>
      <c r="I39" s="38" t="s">
        <v>151</v>
      </c>
      <c r="J39" s="38" t="s">
        <v>151</v>
      </c>
      <c r="K39" s="38" t="s">
        <v>151</v>
      </c>
      <c r="L39" s="38" t="s">
        <v>151</v>
      </c>
      <c r="M39" s="38" t="s">
        <v>151</v>
      </c>
      <c r="N39" s="38" t="s">
        <v>151</v>
      </c>
      <c r="O39" s="38" t="s">
        <v>151</v>
      </c>
      <c r="P39" s="38" t="s">
        <v>151</v>
      </c>
      <c r="Q39" s="38" t="s">
        <v>151</v>
      </c>
      <c r="R39" s="38" t="s">
        <v>151</v>
      </c>
      <c r="S39" s="45" t="s">
        <v>190</v>
      </c>
      <c r="T39" s="38" t="s">
        <v>151</v>
      </c>
      <c r="U39" s="38" t="s">
        <v>151</v>
      </c>
      <c r="V39" s="38" t="s">
        <v>151</v>
      </c>
      <c r="W39" s="38" t="s">
        <v>151</v>
      </c>
      <c r="X39" s="38" t="s">
        <v>151</v>
      </c>
      <c r="Y39" s="38" t="s">
        <v>151</v>
      </c>
      <c r="Z39" s="38" t="s">
        <v>151</v>
      </c>
      <c r="AA39" s="38" t="s">
        <v>151</v>
      </c>
      <c r="AB39" s="38" t="s">
        <v>151</v>
      </c>
      <c r="AC39" s="38" t="s">
        <v>151</v>
      </c>
      <c r="AD39" s="38" t="s">
        <v>151</v>
      </c>
      <c r="AE39" s="38" t="s">
        <v>151</v>
      </c>
      <c r="AF39" s="38" t="s">
        <v>151</v>
      </c>
      <c r="AG39" s="38" t="s">
        <v>151</v>
      </c>
      <c r="AH39" s="38" t="s">
        <v>151</v>
      </c>
      <c r="AI39" s="38" t="s">
        <v>151</v>
      </c>
      <c r="AJ39" s="38" t="s">
        <v>151</v>
      </c>
      <c r="AK39" s="38" t="s">
        <v>151</v>
      </c>
      <c r="AL39" s="38" t="s">
        <v>151</v>
      </c>
      <c r="AM39" s="38" t="s">
        <v>151</v>
      </c>
      <c r="AN39" s="38" t="s">
        <v>151</v>
      </c>
      <c r="AO39" s="38" t="s">
        <v>151</v>
      </c>
      <c r="AP39" s="38" t="s">
        <v>151</v>
      </c>
      <c r="AQ39" s="38" t="s">
        <v>151</v>
      </c>
      <c r="AR39" s="38" t="s">
        <v>151</v>
      </c>
    </row>
    <row r="40">
      <c r="A40" s="1" t="str">
        <f>IFERROR(__xludf.DUMMYFUNCTION("""COMPUTED_VALUE"""),"Dragon Man")</f>
        <v>Dragon Man</v>
      </c>
      <c r="B40" s="38" t="s">
        <v>151</v>
      </c>
      <c r="C40" s="38" t="s">
        <v>151</v>
      </c>
      <c r="D40" s="45" t="s">
        <v>190</v>
      </c>
      <c r="E40" s="38" t="s">
        <v>151</v>
      </c>
      <c r="F40" s="45" t="s">
        <v>190</v>
      </c>
      <c r="G40" s="38" t="s">
        <v>151</v>
      </c>
      <c r="H40" s="38" t="s">
        <v>151</v>
      </c>
      <c r="I40" s="38" t="s">
        <v>151</v>
      </c>
      <c r="J40" s="38" t="s">
        <v>151</v>
      </c>
      <c r="K40" s="38" t="s">
        <v>151</v>
      </c>
      <c r="L40" s="38" t="s">
        <v>151</v>
      </c>
      <c r="M40" s="38" t="s">
        <v>151</v>
      </c>
      <c r="N40" s="38" t="s">
        <v>151</v>
      </c>
      <c r="O40" s="38" t="s">
        <v>151</v>
      </c>
      <c r="P40" s="38" t="s">
        <v>151</v>
      </c>
      <c r="Q40" s="38" t="s">
        <v>151</v>
      </c>
      <c r="R40" s="38" t="s">
        <v>151</v>
      </c>
      <c r="S40" s="38" t="s">
        <v>151</v>
      </c>
      <c r="T40" s="38" t="s">
        <v>151</v>
      </c>
      <c r="U40" s="38" t="s">
        <v>151</v>
      </c>
      <c r="V40" s="38" t="s">
        <v>151</v>
      </c>
      <c r="W40" s="38" t="s">
        <v>151</v>
      </c>
      <c r="X40" s="38" t="s">
        <v>151</v>
      </c>
      <c r="Y40" s="38" t="s">
        <v>151</v>
      </c>
      <c r="Z40" s="38" t="s">
        <v>151</v>
      </c>
      <c r="AA40" s="38" t="s">
        <v>151</v>
      </c>
      <c r="AB40" s="45" t="s">
        <v>190</v>
      </c>
      <c r="AC40" s="38" t="s">
        <v>151</v>
      </c>
      <c r="AD40" s="38" t="s">
        <v>151</v>
      </c>
      <c r="AE40" s="38" t="s">
        <v>151</v>
      </c>
      <c r="AF40" s="38" t="s">
        <v>151</v>
      </c>
      <c r="AG40" s="38" t="s">
        <v>151</v>
      </c>
      <c r="AH40" s="38" t="s">
        <v>151</v>
      </c>
      <c r="AI40" s="38" t="s">
        <v>151</v>
      </c>
      <c r="AJ40" s="38" t="s">
        <v>151</v>
      </c>
      <c r="AK40" s="38" t="s">
        <v>151</v>
      </c>
      <c r="AL40" s="38" t="s">
        <v>151</v>
      </c>
      <c r="AM40" s="38" t="s">
        <v>151</v>
      </c>
      <c r="AN40" s="38" t="s">
        <v>151</v>
      </c>
      <c r="AO40" s="38" t="s">
        <v>151</v>
      </c>
      <c r="AP40" s="38" t="s">
        <v>151</v>
      </c>
      <c r="AQ40" s="38" t="s">
        <v>151</v>
      </c>
      <c r="AR40" s="38" t="s">
        <v>151</v>
      </c>
    </row>
    <row r="41">
      <c r="A41" s="1" t="str">
        <f>IFERROR(__xludf.DUMMYFUNCTION("""COMPUTED_VALUE"""),"Dust")</f>
        <v>Dust</v>
      </c>
      <c r="B41" s="38" t="s">
        <v>151</v>
      </c>
      <c r="C41" s="38" t="s">
        <v>151</v>
      </c>
      <c r="D41" s="38" t="s">
        <v>151</v>
      </c>
      <c r="E41" s="38" t="s">
        <v>151</v>
      </c>
      <c r="F41" s="45" t="s">
        <v>190</v>
      </c>
      <c r="G41" s="38" t="s">
        <v>151</v>
      </c>
      <c r="H41" s="38" t="s">
        <v>151</v>
      </c>
      <c r="I41" s="38" t="s">
        <v>151</v>
      </c>
      <c r="J41" s="38" t="s">
        <v>151</v>
      </c>
      <c r="K41" s="38" t="s">
        <v>151</v>
      </c>
      <c r="L41" s="38" t="s">
        <v>151</v>
      </c>
      <c r="M41" s="38" t="s">
        <v>151</v>
      </c>
      <c r="N41" s="38" t="s">
        <v>151</v>
      </c>
      <c r="O41" s="38" t="s">
        <v>151</v>
      </c>
      <c r="P41" s="38" t="s">
        <v>151</v>
      </c>
      <c r="Q41" s="38" t="s">
        <v>151</v>
      </c>
      <c r="R41" s="38" t="s">
        <v>151</v>
      </c>
      <c r="S41" s="38" t="s">
        <v>151</v>
      </c>
      <c r="T41" s="38" t="s">
        <v>151</v>
      </c>
      <c r="U41" s="38" t="s">
        <v>151</v>
      </c>
      <c r="V41" s="38" t="s">
        <v>151</v>
      </c>
      <c r="W41" s="38" t="s">
        <v>151</v>
      </c>
      <c r="X41" s="38" t="s">
        <v>151</v>
      </c>
      <c r="Y41" s="38" t="s">
        <v>151</v>
      </c>
      <c r="Z41" s="38" t="s">
        <v>151</v>
      </c>
      <c r="AA41" s="38" t="s">
        <v>151</v>
      </c>
      <c r="AB41" s="45" t="s">
        <v>190</v>
      </c>
      <c r="AC41" s="38" t="s">
        <v>151</v>
      </c>
      <c r="AD41" s="38" t="s">
        <v>151</v>
      </c>
      <c r="AE41" s="38" t="s">
        <v>151</v>
      </c>
      <c r="AF41" s="38" t="s">
        <v>151</v>
      </c>
      <c r="AG41" s="38" t="s">
        <v>151</v>
      </c>
      <c r="AH41" s="38" t="s">
        <v>151</v>
      </c>
      <c r="AI41" s="38" t="s">
        <v>151</v>
      </c>
      <c r="AJ41" s="38" t="s">
        <v>151</v>
      </c>
      <c r="AK41" s="45" t="s">
        <v>190</v>
      </c>
      <c r="AL41" s="38" t="s">
        <v>151</v>
      </c>
      <c r="AM41" s="38" t="s">
        <v>151</v>
      </c>
      <c r="AN41" s="38" t="s">
        <v>151</v>
      </c>
      <c r="AO41" s="38" t="s">
        <v>151</v>
      </c>
      <c r="AP41" s="38" t="s">
        <v>151</v>
      </c>
      <c r="AQ41" s="38" t="s">
        <v>151</v>
      </c>
      <c r="AR41" s="38" t="s">
        <v>151</v>
      </c>
    </row>
    <row r="42">
      <c r="A42" s="1" t="str">
        <f>IFERROR(__xludf.DUMMYFUNCTION("""COMPUTED_VALUE"""),"Electro")</f>
        <v>Electro</v>
      </c>
      <c r="B42" s="38" t="s">
        <v>151</v>
      </c>
      <c r="C42" s="38" t="s">
        <v>151</v>
      </c>
      <c r="D42" s="38" t="s">
        <v>151</v>
      </c>
      <c r="E42" s="38" t="s">
        <v>151</v>
      </c>
      <c r="F42" s="38" t="s">
        <v>151</v>
      </c>
      <c r="G42" s="38" t="s">
        <v>151</v>
      </c>
      <c r="H42" s="38" t="s">
        <v>151</v>
      </c>
      <c r="I42" s="38" t="s">
        <v>151</v>
      </c>
      <c r="J42" s="38" t="s">
        <v>151</v>
      </c>
      <c r="K42" s="38" t="s">
        <v>151</v>
      </c>
      <c r="L42" s="38" t="s">
        <v>151</v>
      </c>
      <c r="M42" s="38" t="s">
        <v>151</v>
      </c>
      <c r="N42" s="38" t="s">
        <v>151</v>
      </c>
      <c r="O42" s="38" t="s">
        <v>151</v>
      </c>
      <c r="P42" s="38" t="s">
        <v>151</v>
      </c>
      <c r="Q42" s="38" t="s">
        <v>151</v>
      </c>
      <c r="R42" s="38" t="s">
        <v>151</v>
      </c>
      <c r="S42" s="38" t="s">
        <v>151</v>
      </c>
      <c r="T42" s="38" t="s">
        <v>151</v>
      </c>
      <c r="U42" s="38" t="s">
        <v>151</v>
      </c>
      <c r="V42" s="38" t="s">
        <v>151</v>
      </c>
      <c r="W42" s="38" t="s">
        <v>151</v>
      </c>
      <c r="X42" s="38" t="s">
        <v>151</v>
      </c>
      <c r="Y42" s="38" t="s">
        <v>151</v>
      </c>
      <c r="Z42" s="38" t="s">
        <v>151</v>
      </c>
      <c r="AA42" s="38" t="s">
        <v>151</v>
      </c>
      <c r="AB42" s="38" t="s">
        <v>151</v>
      </c>
      <c r="AC42" s="38" t="s">
        <v>151</v>
      </c>
      <c r="AD42" s="38" t="s">
        <v>151</v>
      </c>
      <c r="AE42" s="38" t="s">
        <v>151</v>
      </c>
      <c r="AF42" s="38" t="s">
        <v>151</v>
      </c>
      <c r="AG42" s="38" t="s">
        <v>151</v>
      </c>
      <c r="AH42" s="38" t="s">
        <v>151</v>
      </c>
      <c r="AI42" s="38" t="s">
        <v>151</v>
      </c>
      <c r="AJ42" s="38" t="s">
        <v>151</v>
      </c>
      <c r="AK42" s="45" t="s">
        <v>190</v>
      </c>
      <c r="AL42" s="38" t="s">
        <v>151</v>
      </c>
      <c r="AM42" s="38" t="s">
        <v>151</v>
      </c>
      <c r="AN42" s="38" t="s">
        <v>151</v>
      </c>
      <c r="AO42" s="38" t="s">
        <v>151</v>
      </c>
      <c r="AP42" s="38" t="s">
        <v>151</v>
      </c>
      <c r="AQ42" s="38" t="s">
        <v>151</v>
      </c>
      <c r="AR42" s="38" t="s">
        <v>151</v>
      </c>
    </row>
    <row r="43">
      <c r="A43" s="1" t="str">
        <f>IFERROR(__xludf.DUMMYFUNCTION("""COMPUTED_VALUE"""),"Emma Frost")</f>
        <v>Emma Frost</v>
      </c>
      <c r="B43" s="38" t="s">
        <v>151</v>
      </c>
      <c r="C43" s="38" t="s">
        <v>151</v>
      </c>
      <c r="D43" s="38" t="s">
        <v>151</v>
      </c>
      <c r="E43" s="38" t="s">
        <v>151</v>
      </c>
      <c r="F43" s="45" t="s">
        <v>190</v>
      </c>
      <c r="G43" s="38" t="s">
        <v>151</v>
      </c>
      <c r="H43" s="45" t="s">
        <v>190</v>
      </c>
      <c r="I43" s="38" t="s">
        <v>151</v>
      </c>
      <c r="J43" s="38" t="s">
        <v>151</v>
      </c>
      <c r="K43" s="38" t="s">
        <v>151</v>
      </c>
      <c r="L43" s="38" t="s">
        <v>151</v>
      </c>
      <c r="M43" s="38" t="s">
        <v>151</v>
      </c>
      <c r="N43" s="38" t="s">
        <v>151</v>
      </c>
      <c r="O43" s="38" t="s">
        <v>151</v>
      </c>
      <c r="P43" s="38" t="s">
        <v>151</v>
      </c>
      <c r="Q43" s="38" t="s">
        <v>151</v>
      </c>
      <c r="R43" s="45" t="s">
        <v>190</v>
      </c>
      <c r="S43" s="38" t="s">
        <v>151</v>
      </c>
      <c r="T43" s="45" t="s">
        <v>190</v>
      </c>
      <c r="U43" s="38" t="s">
        <v>151</v>
      </c>
      <c r="V43" s="38" t="s">
        <v>151</v>
      </c>
      <c r="W43" s="38" t="s">
        <v>151</v>
      </c>
      <c r="X43" s="38" t="s">
        <v>151</v>
      </c>
      <c r="Y43" s="38" t="s">
        <v>151</v>
      </c>
      <c r="Z43" s="38" t="s">
        <v>151</v>
      </c>
      <c r="AA43" s="38" t="s">
        <v>151</v>
      </c>
      <c r="AB43" s="45" t="s">
        <v>190</v>
      </c>
      <c r="AC43" s="38" t="s">
        <v>151</v>
      </c>
      <c r="AD43" s="38" t="s">
        <v>151</v>
      </c>
      <c r="AE43" s="38" t="s">
        <v>151</v>
      </c>
      <c r="AF43" s="38" t="s">
        <v>151</v>
      </c>
      <c r="AG43" s="38" t="s">
        <v>151</v>
      </c>
      <c r="AH43" s="38" t="s">
        <v>151</v>
      </c>
      <c r="AI43" s="45" t="s">
        <v>190</v>
      </c>
      <c r="AJ43" s="38" t="s">
        <v>151</v>
      </c>
      <c r="AK43" s="45" t="s">
        <v>190</v>
      </c>
      <c r="AL43" s="38" t="s">
        <v>151</v>
      </c>
      <c r="AM43" s="38" t="s">
        <v>151</v>
      </c>
      <c r="AN43" s="38" t="s">
        <v>151</v>
      </c>
      <c r="AO43" s="38" t="s">
        <v>151</v>
      </c>
      <c r="AP43" s="45" t="s">
        <v>190</v>
      </c>
      <c r="AQ43" s="38" t="s">
        <v>151</v>
      </c>
      <c r="AR43" s="38" t="s">
        <v>151</v>
      </c>
    </row>
    <row r="44">
      <c r="A44" s="1" t="str">
        <f>IFERROR(__xludf.DUMMYFUNCTION("""COMPUTED_VALUE"""),"Enchantress")</f>
        <v>Enchantress</v>
      </c>
      <c r="B44" s="38" t="s">
        <v>151</v>
      </c>
      <c r="C44" s="38" t="s">
        <v>151</v>
      </c>
      <c r="D44" s="38" t="s">
        <v>151</v>
      </c>
      <c r="E44" s="38" t="s">
        <v>151</v>
      </c>
      <c r="F44" s="38" t="s">
        <v>151</v>
      </c>
      <c r="G44" s="38" t="s">
        <v>151</v>
      </c>
      <c r="H44" s="38" t="s">
        <v>151</v>
      </c>
      <c r="I44" s="38" t="s">
        <v>151</v>
      </c>
      <c r="J44" s="38" t="s">
        <v>151</v>
      </c>
      <c r="K44" s="38" t="s">
        <v>151</v>
      </c>
      <c r="L44" s="38" t="s">
        <v>151</v>
      </c>
      <c r="M44" s="38" t="s">
        <v>151</v>
      </c>
      <c r="N44" s="38" t="s">
        <v>151</v>
      </c>
      <c r="O44" s="38" t="s">
        <v>151</v>
      </c>
      <c r="P44" s="38" t="s">
        <v>151</v>
      </c>
      <c r="Q44" s="38" t="s">
        <v>151</v>
      </c>
      <c r="R44" s="38" t="s">
        <v>151</v>
      </c>
      <c r="S44" s="38" t="s">
        <v>151</v>
      </c>
      <c r="T44" s="38" t="s">
        <v>151</v>
      </c>
      <c r="U44" s="38" t="s">
        <v>151</v>
      </c>
      <c r="V44" s="38" t="s">
        <v>151</v>
      </c>
      <c r="W44" s="38" t="s">
        <v>151</v>
      </c>
      <c r="X44" s="38" t="s">
        <v>151</v>
      </c>
      <c r="Y44" s="38" t="s">
        <v>151</v>
      </c>
      <c r="Z44" s="38" t="s">
        <v>151</v>
      </c>
      <c r="AA44" s="38" t="s">
        <v>151</v>
      </c>
      <c r="AB44" s="38" t="s">
        <v>151</v>
      </c>
      <c r="AC44" s="38" t="s">
        <v>151</v>
      </c>
      <c r="AD44" s="38" t="s">
        <v>151</v>
      </c>
      <c r="AE44" s="45" t="s">
        <v>190</v>
      </c>
      <c r="AF44" s="38" t="s">
        <v>151</v>
      </c>
      <c r="AG44" s="38" t="s">
        <v>151</v>
      </c>
      <c r="AH44" s="38" t="s">
        <v>151</v>
      </c>
      <c r="AI44" s="38" t="s">
        <v>151</v>
      </c>
      <c r="AJ44" s="38" t="s">
        <v>151</v>
      </c>
      <c r="AK44" s="38" t="s">
        <v>151</v>
      </c>
      <c r="AL44" s="38" t="s">
        <v>151</v>
      </c>
      <c r="AM44" s="38" t="s">
        <v>151</v>
      </c>
      <c r="AN44" s="38" t="s">
        <v>151</v>
      </c>
      <c r="AO44" s="38" t="s">
        <v>151</v>
      </c>
      <c r="AP44" s="38" t="s">
        <v>151</v>
      </c>
      <c r="AQ44" s="38" t="s">
        <v>151</v>
      </c>
      <c r="AR44" s="38" t="s">
        <v>151</v>
      </c>
    </row>
    <row r="45">
      <c r="A45" s="1" t="str">
        <f>IFERROR(__xludf.DUMMYFUNCTION("""COMPUTED_VALUE"""),"Falcon")</f>
        <v>Falcon</v>
      </c>
      <c r="B45" s="38" t="s">
        <v>151</v>
      </c>
      <c r="C45" s="38" t="s">
        <v>151</v>
      </c>
      <c r="D45" s="38" t="s">
        <v>151</v>
      </c>
      <c r="E45" s="38" t="s">
        <v>151</v>
      </c>
      <c r="F45" s="38" t="s">
        <v>151</v>
      </c>
      <c r="G45" s="38" t="s">
        <v>151</v>
      </c>
      <c r="H45" s="38" t="s">
        <v>151</v>
      </c>
      <c r="I45" s="38" t="s">
        <v>151</v>
      </c>
      <c r="J45" s="38" t="s">
        <v>151</v>
      </c>
      <c r="K45" s="38" t="s">
        <v>151</v>
      </c>
      <c r="L45" s="38" t="s">
        <v>151</v>
      </c>
      <c r="M45" s="38" t="s">
        <v>151</v>
      </c>
      <c r="N45" s="38" t="s">
        <v>151</v>
      </c>
      <c r="O45" s="38" t="s">
        <v>151</v>
      </c>
      <c r="P45" s="38" t="s">
        <v>151</v>
      </c>
      <c r="Q45" s="38" t="s">
        <v>151</v>
      </c>
      <c r="R45" s="38" t="s">
        <v>151</v>
      </c>
      <c r="S45" s="38" t="s">
        <v>151</v>
      </c>
      <c r="T45" s="38" t="s">
        <v>151</v>
      </c>
      <c r="U45" s="38" t="s">
        <v>151</v>
      </c>
      <c r="V45" s="38" t="s">
        <v>151</v>
      </c>
      <c r="W45" s="38" t="s">
        <v>151</v>
      </c>
      <c r="X45" s="38" t="s">
        <v>151</v>
      </c>
      <c r="Y45" s="38" t="s">
        <v>151</v>
      </c>
      <c r="Z45" s="38" t="s">
        <v>151</v>
      </c>
      <c r="AA45" s="38" t="s">
        <v>151</v>
      </c>
      <c r="AB45" s="38" t="s">
        <v>151</v>
      </c>
      <c r="AC45" s="38" t="s">
        <v>151</v>
      </c>
      <c r="AD45" s="38" t="s">
        <v>151</v>
      </c>
      <c r="AE45" s="38" t="s">
        <v>151</v>
      </c>
      <c r="AF45" s="38" t="s">
        <v>151</v>
      </c>
      <c r="AG45" s="38" t="s">
        <v>151</v>
      </c>
      <c r="AH45" s="38" t="s">
        <v>151</v>
      </c>
      <c r="AI45" s="38" t="s">
        <v>151</v>
      </c>
      <c r="AJ45" s="38" t="s">
        <v>151</v>
      </c>
      <c r="AK45" s="38" t="s">
        <v>151</v>
      </c>
      <c r="AL45" s="38" t="s">
        <v>151</v>
      </c>
      <c r="AM45" s="38" t="s">
        <v>151</v>
      </c>
      <c r="AN45" s="38" t="s">
        <v>151</v>
      </c>
      <c r="AO45" s="38" t="s">
        <v>151</v>
      </c>
      <c r="AP45" s="45" t="s">
        <v>190</v>
      </c>
      <c r="AQ45" s="38" t="s">
        <v>151</v>
      </c>
      <c r="AR45" s="38" t="s">
        <v>151</v>
      </c>
    </row>
    <row r="46">
      <c r="A46" s="1" t="str">
        <f>IFERROR(__xludf.DUMMYFUNCTION("""COMPUTED_VALUE"""),"Franken-Castle")</f>
        <v>Franken-Castle</v>
      </c>
      <c r="B46" s="38" t="s">
        <v>151</v>
      </c>
      <c r="C46" s="38" t="s">
        <v>151</v>
      </c>
      <c r="D46" s="38" t="s">
        <v>151</v>
      </c>
      <c r="E46" s="38" t="s">
        <v>151</v>
      </c>
      <c r="F46" s="38" t="s">
        <v>151</v>
      </c>
      <c r="G46" s="38" t="s">
        <v>151</v>
      </c>
      <c r="H46" s="38" t="s">
        <v>151</v>
      </c>
      <c r="I46" s="38" t="s">
        <v>151</v>
      </c>
      <c r="J46" s="38" t="s">
        <v>151</v>
      </c>
      <c r="K46" s="38" t="s">
        <v>151</v>
      </c>
      <c r="L46" s="38" t="s">
        <v>151</v>
      </c>
      <c r="M46" s="38" t="s">
        <v>151</v>
      </c>
      <c r="N46" s="38" t="s">
        <v>151</v>
      </c>
      <c r="O46" s="38" t="s">
        <v>151</v>
      </c>
      <c r="P46" s="38" t="s">
        <v>151</v>
      </c>
      <c r="Q46" s="38" t="s">
        <v>151</v>
      </c>
      <c r="R46" s="38" t="s">
        <v>151</v>
      </c>
      <c r="S46" s="38" t="s">
        <v>151</v>
      </c>
      <c r="T46" s="38" t="s">
        <v>151</v>
      </c>
      <c r="U46" s="38" t="s">
        <v>151</v>
      </c>
      <c r="V46" s="38" t="s">
        <v>151</v>
      </c>
      <c r="W46" s="38" t="s">
        <v>151</v>
      </c>
      <c r="X46" s="38" t="s">
        <v>151</v>
      </c>
      <c r="Y46" s="38" t="s">
        <v>151</v>
      </c>
      <c r="Z46" s="38" t="s">
        <v>151</v>
      </c>
      <c r="AA46" s="45" t="s">
        <v>190</v>
      </c>
      <c r="AB46" s="45" t="s">
        <v>190</v>
      </c>
      <c r="AC46" s="38" t="s">
        <v>151</v>
      </c>
      <c r="AD46" s="38" t="s">
        <v>151</v>
      </c>
      <c r="AE46" s="38" t="s">
        <v>151</v>
      </c>
      <c r="AF46" s="38" t="s">
        <v>151</v>
      </c>
      <c r="AG46" s="38" t="s">
        <v>151</v>
      </c>
      <c r="AH46" s="38" t="s">
        <v>151</v>
      </c>
      <c r="AI46" s="38" t="s">
        <v>151</v>
      </c>
      <c r="AJ46" s="38" t="s">
        <v>151</v>
      </c>
      <c r="AK46" s="38" t="s">
        <v>151</v>
      </c>
      <c r="AL46" s="38" t="s">
        <v>151</v>
      </c>
      <c r="AM46" s="38" t="s">
        <v>151</v>
      </c>
      <c r="AN46" s="45" t="s">
        <v>190</v>
      </c>
      <c r="AO46" s="38" t="s">
        <v>151</v>
      </c>
      <c r="AP46" s="38" t="s">
        <v>151</v>
      </c>
      <c r="AQ46" s="38" t="s">
        <v>151</v>
      </c>
      <c r="AR46" s="38" t="s">
        <v>151</v>
      </c>
    </row>
    <row r="47">
      <c r="A47" s="1" t="str">
        <f>IFERROR(__xludf.DUMMYFUNCTION("""COMPUTED_VALUE"""),"Galan")</f>
        <v>Galan</v>
      </c>
      <c r="B47" s="38" t="s">
        <v>151</v>
      </c>
      <c r="C47" s="38" t="s">
        <v>151</v>
      </c>
      <c r="D47" s="38" t="s">
        <v>151</v>
      </c>
      <c r="E47" s="38" t="s">
        <v>151</v>
      </c>
      <c r="F47" s="38" t="s">
        <v>151</v>
      </c>
      <c r="G47" s="38" t="s">
        <v>151</v>
      </c>
      <c r="H47" s="38" t="s">
        <v>151</v>
      </c>
      <c r="I47" s="38" t="s">
        <v>151</v>
      </c>
      <c r="J47" s="38" t="s">
        <v>151</v>
      </c>
      <c r="K47" s="38" t="s">
        <v>151</v>
      </c>
      <c r="L47" s="38" t="s">
        <v>151</v>
      </c>
      <c r="M47" s="38" t="s">
        <v>151</v>
      </c>
      <c r="N47" s="38" t="s">
        <v>151</v>
      </c>
      <c r="O47" s="38" t="s">
        <v>151</v>
      </c>
      <c r="P47" s="45" t="s">
        <v>190</v>
      </c>
      <c r="Q47" s="38" t="s">
        <v>151</v>
      </c>
      <c r="R47" s="38" t="s">
        <v>151</v>
      </c>
      <c r="S47" s="38" t="s">
        <v>151</v>
      </c>
      <c r="T47" s="38" t="s">
        <v>151</v>
      </c>
      <c r="U47" s="38" t="s">
        <v>151</v>
      </c>
      <c r="V47" s="38" t="s">
        <v>151</v>
      </c>
      <c r="W47" s="38" t="s">
        <v>151</v>
      </c>
      <c r="X47" s="38" t="s">
        <v>151</v>
      </c>
      <c r="Y47" s="38" t="s">
        <v>151</v>
      </c>
      <c r="Z47" s="45" t="s">
        <v>190</v>
      </c>
      <c r="AA47" s="38" t="s">
        <v>151</v>
      </c>
      <c r="AB47" s="38" t="s">
        <v>151</v>
      </c>
      <c r="AC47" s="45" t="s">
        <v>190</v>
      </c>
      <c r="AD47" s="45" t="s">
        <v>190</v>
      </c>
      <c r="AE47" s="45" t="s">
        <v>190</v>
      </c>
      <c r="AF47" s="38" t="s">
        <v>151</v>
      </c>
      <c r="AG47" s="38" t="s">
        <v>151</v>
      </c>
      <c r="AH47" s="38" t="s">
        <v>151</v>
      </c>
      <c r="AI47" s="38" t="s">
        <v>151</v>
      </c>
      <c r="AJ47" s="38" t="s">
        <v>151</v>
      </c>
      <c r="AK47" s="38" t="s">
        <v>151</v>
      </c>
      <c r="AL47" s="38" t="s">
        <v>151</v>
      </c>
      <c r="AM47" s="45" t="s">
        <v>190</v>
      </c>
      <c r="AN47" s="38" t="s">
        <v>151</v>
      </c>
      <c r="AO47" s="38" t="s">
        <v>151</v>
      </c>
      <c r="AP47" s="38" t="s">
        <v>151</v>
      </c>
      <c r="AQ47" s="38" t="s">
        <v>151</v>
      </c>
      <c r="AR47" s="38" t="s">
        <v>151</v>
      </c>
    </row>
    <row r="48">
      <c r="A48" s="1" t="str">
        <f>IFERROR(__xludf.DUMMYFUNCTION("""COMPUTED_VALUE"""),"Gambit")</f>
        <v>Gambit</v>
      </c>
      <c r="B48" s="38" t="s">
        <v>151</v>
      </c>
      <c r="C48" s="38" t="s">
        <v>151</v>
      </c>
      <c r="D48" s="38" t="s">
        <v>151</v>
      </c>
      <c r="E48" s="38" t="s">
        <v>151</v>
      </c>
      <c r="F48" s="38" t="s">
        <v>151</v>
      </c>
      <c r="G48" s="38" t="s">
        <v>151</v>
      </c>
      <c r="H48" s="38" t="s">
        <v>151</v>
      </c>
      <c r="I48" s="38" t="s">
        <v>151</v>
      </c>
      <c r="J48" s="38" t="s">
        <v>151</v>
      </c>
      <c r="K48" s="38" t="s">
        <v>151</v>
      </c>
      <c r="L48" s="38" t="s">
        <v>151</v>
      </c>
      <c r="M48" s="38" t="s">
        <v>151</v>
      </c>
      <c r="N48" s="38" t="s">
        <v>151</v>
      </c>
      <c r="O48" s="38" t="s">
        <v>151</v>
      </c>
      <c r="P48" s="38" t="s">
        <v>151</v>
      </c>
      <c r="Q48" s="38" t="s">
        <v>151</v>
      </c>
      <c r="R48" s="38" t="s">
        <v>151</v>
      </c>
      <c r="S48" s="38" t="s">
        <v>151</v>
      </c>
      <c r="T48" s="38" t="s">
        <v>151</v>
      </c>
      <c r="U48" s="38" t="s">
        <v>151</v>
      </c>
      <c r="V48" s="38" t="s">
        <v>151</v>
      </c>
      <c r="W48" s="38" t="s">
        <v>151</v>
      </c>
      <c r="X48" s="38" t="s">
        <v>151</v>
      </c>
      <c r="Y48" s="38" t="s">
        <v>151</v>
      </c>
      <c r="Z48" s="38" t="s">
        <v>151</v>
      </c>
      <c r="AA48" s="38" t="s">
        <v>151</v>
      </c>
      <c r="AB48" s="38" t="s">
        <v>151</v>
      </c>
      <c r="AC48" s="38" t="s">
        <v>151</v>
      </c>
      <c r="AD48" s="38" t="s">
        <v>151</v>
      </c>
      <c r="AE48" s="38" t="s">
        <v>151</v>
      </c>
      <c r="AF48" s="38" t="s">
        <v>151</v>
      </c>
      <c r="AG48" s="38" t="s">
        <v>151</v>
      </c>
      <c r="AH48" s="38" t="s">
        <v>151</v>
      </c>
      <c r="AI48" s="45" t="s">
        <v>190</v>
      </c>
      <c r="AJ48" s="38" t="s">
        <v>151</v>
      </c>
      <c r="AK48" s="38" t="s">
        <v>151</v>
      </c>
      <c r="AL48" s="38" t="s">
        <v>151</v>
      </c>
      <c r="AM48" s="38" t="s">
        <v>151</v>
      </c>
      <c r="AN48" s="38" t="s">
        <v>151</v>
      </c>
      <c r="AO48" s="38" t="s">
        <v>151</v>
      </c>
      <c r="AP48" s="38" t="s">
        <v>151</v>
      </c>
      <c r="AQ48" s="38" t="s">
        <v>151</v>
      </c>
      <c r="AR48" s="38" t="s">
        <v>151</v>
      </c>
    </row>
    <row r="49">
      <c r="A49" s="1" t="str">
        <f>IFERROR(__xludf.DUMMYFUNCTION("""COMPUTED_VALUE"""),"Gentle")</f>
        <v>Gentle</v>
      </c>
      <c r="B49" s="38" t="s">
        <v>151</v>
      </c>
      <c r="C49" s="38" t="s">
        <v>151</v>
      </c>
      <c r="D49" s="38" t="s">
        <v>151</v>
      </c>
      <c r="E49" s="38" t="s">
        <v>151</v>
      </c>
      <c r="F49" s="45" t="s">
        <v>190</v>
      </c>
      <c r="G49" s="38" t="s">
        <v>151</v>
      </c>
      <c r="H49" s="38" t="s">
        <v>151</v>
      </c>
      <c r="I49" s="38" t="s">
        <v>151</v>
      </c>
      <c r="J49" s="38" t="s">
        <v>151</v>
      </c>
      <c r="K49" s="38" t="s">
        <v>151</v>
      </c>
      <c r="L49" s="38" t="s">
        <v>151</v>
      </c>
      <c r="M49" s="38" t="s">
        <v>151</v>
      </c>
      <c r="N49" s="38" t="s">
        <v>151</v>
      </c>
      <c r="O49" s="38" t="s">
        <v>151</v>
      </c>
      <c r="P49" s="38" t="s">
        <v>151</v>
      </c>
      <c r="Q49" s="38" t="s">
        <v>151</v>
      </c>
      <c r="R49" s="38" t="s">
        <v>151</v>
      </c>
      <c r="S49" s="38" t="s">
        <v>151</v>
      </c>
      <c r="T49" s="38" t="s">
        <v>151</v>
      </c>
      <c r="U49" s="38" t="s">
        <v>151</v>
      </c>
      <c r="V49" s="38" t="s">
        <v>151</v>
      </c>
      <c r="W49" s="38" t="s">
        <v>151</v>
      </c>
      <c r="X49" s="38" t="s">
        <v>151</v>
      </c>
      <c r="Y49" s="38" t="s">
        <v>151</v>
      </c>
      <c r="Z49" s="38" t="s">
        <v>151</v>
      </c>
      <c r="AA49" s="38" t="s">
        <v>151</v>
      </c>
      <c r="AB49" s="38" t="s">
        <v>151</v>
      </c>
      <c r="AC49" s="38" t="s">
        <v>151</v>
      </c>
      <c r="AD49" s="38" t="s">
        <v>151</v>
      </c>
      <c r="AE49" s="38" t="s">
        <v>151</v>
      </c>
      <c r="AF49" s="38" t="s">
        <v>151</v>
      </c>
      <c r="AG49" s="38" t="s">
        <v>151</v>
      </c>
      <c r="AH49" s="38" t="s">
        <v>151</v>
      </c>
      <c r="AI49" s="38" t="s">
        <v>151</v>
      </c>
      <c r="AJ49" s="38" t="s">
        <v>151</v>
      </c>
      <c r="AK49" s="38" t="s">
        <v>151</v>
      </c>
      <c r="AL49" s="38" t="s">
        <v>151</v>
      </c>
      <c r="AM49" s="38" t="s">
        <v>151</v>
      </c>
      <c r="AN49" s="38" t="s">
        <v>151</v>
      </c>
      <c r="AO49" s="38" t="s">
        <v>151</v>
      </c>
      <c r="AP49" s="45" t="s">
        <v>190</v>
      </c>
      <c r="AQ49" s="38" t="s">
        <v>151</v>
      </c>
      <c r="AR49" s="38" t="s">
        <v>151</v>
      </c>
    </row>
    <row r="50">
      <c r="A50" s="1" t="str">
        <f>IFERROR(__xludf.DUMMYFUNCTION("""COMPUTED_VALUE"""),"Ghost Rider")</f>
        <v>Ghost Rider</v>
      </c>
      <c r="B50" s="38" t="s">
        <v>151</v>
      </c>
      <c r="C50" s="38" t="s">
        <v>151</v>
      </c>
      <c r="D50" s="38" t="s">
        <v>151</v>
      </c>
      <c r="E50" s="38" t="s">
        <v>151</v>
      </c>
      <c r="F50" s="45" t="s">
        <v>190</v>
      </c>
      <c r="G50" s="38" t="s">
        <v>151</v>
      </c>
      <c r="H50" s="38" t="s">
        <v>151</v>
      </c>
      <c r="I50" s="38" t="s">
        <v>151</v>
      </c>
      <c r="J50" s="38" t="s">
        <v>151</v>
      </c>
      <c r="K50" s="38" t="s">
        <v>151</v>
      </c>
      <c r="L50" s="38" t="s">
        <v>151</v>
      </c>
      <c r="M50" s="38" t="s">
        <v>151</v>
      </c>
      <c r="N50" s="38" t="s">
        <v>151</v>
      </c>
      <c r="O50" s="38" t="s">
        <v>151</v>
      </c>
      <c r="P50" s="38" t="s">
        <v>151</v>
      </c>
      <c r="Q50" s="38" t="s">
        <v>151</v>
      </c>
      <c r="R50" s="38" t="s">
        <v>151</v>
      </c>
      <c r="S50" s="38" t="s">
        <v>151</v>
      </c>
      <c r="T50" s="45" t="s">
        <v>190</v>
      </c>
      <c r="U50" s="38" t="s">
        <v>151</v>
      </c>
      <c r="V50" s="38" t="s">
        <v>151</v>
      </c>
      <c r="W50" s="38" t="s">
        <v>151</v>
      </c>
      <c r="X50" s="38" t="s">
        <v>151</v>
      </c>
      <c r="Y50" s="38" t="s">
        <v>151</v>
      </c>
      <c r="Z50" s="38" t="s">
        <v>151</v>
      </c>
      <c r="AA50" s="38" t="s">
        <v>151</v>
      </c>
      <c r="AB50" s="38" t="s">
        <v>151</v>
      </c>
      <c r="AC50" s="38" t="s">
        <v>151</v>
      </c>
      <c r="AD50" s="38" t="s">
        <v>151</v>
      </c>
      <c r="AE50" s="38" t="s">
        <v>151</v>
      </c>
      <c r="AF50" s="38" t="s">
        <v>151</v>
      </c>
      <c r="AG50" s="38" t="s">
        <v>151</v>
      </c>
      <c r="AH50" s="38" t="s">
        <v>151</v>
      </c>
      <c r="AI50" s="38" t="s">
        <v>151</v>
      </c>
      <c r="AJ50" s="38" t="s">
        <v>151</v>
      </c>
      <c r="AK50" s="38" t="s">
        <v>151</v>
      </c>
      <c r="AL50" s="38" t="s">
        <v>151</v>
      </c>
      <c r="AM50" s="38" t="s">
        <v>151</v>
      </c>
      <c r="AN50" s="38" t="s">
        <v>151</v>
      </c>
      <c r="AO50" s="38" t="s">
        <v>151</v>
      </c>
      <c r="AP50" s="38" t="s">
        <v>151</v>
      </c>
      <c r="AQ50" s="38" t="s">
        <v>151</v>
      </c>
      <c r="AR50" s="38" t="s">
        <v>151</v>
      </c>
    </row>
    <row r="51">
      <c r="A51" s="1" t="str">
        <f>IFERROR(__xludf.DUMMYFUNCTION("""COMPUTED_VALUE"""),"Gladiator")</f>
        <v>Gladiator</v>
      </c>
      <c r="B51" s="38" t="s">
        <v>151</v>
      </c>
      <c r="C51" s="38" t="s">
        <v>151</v>
      </c>
      <c r="D51" s="38" t="s">
        <v>151</v>
      </c>
      <c r="E51" s="38" t="s">
        <v>151</v>
      </c>
      <c r="F51" s="38" t="s">
        <v>151</v>
      </c>
      <c r="G51" s="38" t="s">
        <v>151</v>
      </c>
      <c r="H51" s="38" t="s">
        <v>151</v>
      </c>
      <c r="I51" s="38" t="s">
        <v>151</v>
      </c>
      <c r="J51" s="38" t="s">
        <v>151</v>
      </c>
      <c r="K51" s="38" t="s">
        <v>151</v>
      </c>
      <c r="L51" s="38" t="s">
        <v>151</v>
      </c>
      <c r="M51" s="38" t="s">
        <v>151</v>
      </c>
      <c r="N51" s="38" t="s">
        <v>151</v>
      </c>
      <c r="O51" s="38" t="s">
        <v>151</v>
      </c>
      <c r="P51" s="38" t="s">
        <v>151</v>
      </c>
      <c r="Q51" s="38" t="s">
        <v>151</v>
      </c>
      <c r="R51" s="38" t="s">
        <v>151</v>
      </c>
      <c r="S51" s="38" t="s">
        <v>151</v>
      </c>
      <c r="T51" s="38" t="s">
        <v>151</v>
      </c>
      <c r="U51" s="38" t="s">
        <v>151</v>
      </c>
      <c r="V51" s="38" t="s">
        <v>151</v>
      </c>
      <c r="W51" s="38" t="s">
        <v>151</v>
      </c>
      <c r="X51" s="38" t="s">
        <v>151</v>
      </c>
      <c r="Y51" s="38" t="s">
        <v>151</v>
      </c>
      <c r="Z51" s="38" t="s">
        <v>151</v>
      </c>
      <c r="AA51" s="38" t="s">
        <v>151</v>
      </c>
      <c r="AB51" s="38" t="s">
        <v>151</v>
      </c>
      <c r="AC51" s="45" t="s">
        <v>190</v>
      </c>
      <c r="AD51" s="45" t="s">
        <v>190</v>
      </c>
      <c r="AE51" s="38" t="s">
        <v>151</v>
      </c>
      <c r="AF51" s="38" t="s">
        <v>151</v>
      </c>
      <c r="AG51" s="38" t="s">
        <v>151</v>
      </c>
      <c r="AH51" s="38" t="s">
        <v>151</v>
      </c>
      <c r="AI51" s="38" t="s">
        <v>151</v>
      </c>
      <c r="AJ51" s="38" t="s">
        <v>151</v>
      </c>
      <c r="AK51" s="38" t="s">
        <v>151</v>
      </c>
      <c r="AL51" s="38" t="s">
        <v>151</v>
      </c>
      <c r="AM51" s="38" t="s">
        <v>151</v>
      </c>
      <c r="AN51" s="38" t="s">
        <v>151</v>
      </c>
      <c r="AO51" s="38" t="s">
        <v>151</v>
      </c>
      <c r="AP51" s="38" t="s">
        <v>151</v>
      </c>
      <c r="AQ51" s="38" t="s">
        <v>151</v>
      </c>
      <c r="AR51" s="38" t="s">
        <v>151</v>
      </c>
    </row>
    <row r="52">
      <c r="A52" s="1" t="str">
        <f>IFERROR(__xludf.DUMMYFUNCTION("""COMPUTED_VALUE"""),"Gorr")</f>
        <v>Gorr</v>
      </c>
      <c r="B52" s="38" t="s">
        <v>151</v>
      </c>
      <c r="C52" s="38" t="s">
        <v>151</v>
      </c>
      <c r="D52" s="38" t="s">
        <v>151</v>
      </c>
      <c r="E52" s="38" t="s">
        <v>151</v>
      </c>
      <c r="F52" s="38" t="s">
        <v>151</v>
      </c>
      <c r="G52" s="38" t="s">
        <v>151</v>
      </c>
      <c r="H52" s="38" t="s">
        <v>151</v>
      </c>
      <c r="I52" s="38" t="s">
        <v>151</v>
      </c>
      <c r="J52" s="38" t="s">
        <v>151</v>
      </c>
      <c r="K52" s="38" t="s">
        <v>151</v>
      </c>
      <c r="L52" s="38" t="s">
        <v>151</v>
      </c>
      <c r="M52" s="38" t="s">
        <v>151</v>
      </c>
      <c r="N52" s="38" t="s">
        <v>151</v>
      </c>
      <c r="O52" s="38" t="s">
        <v>151</v>
      </c>
      <c r="P52" s="38" t="s">
        <v>151</v>
      </c>
      <c r="Q52" s="38" t="s">
        <v>151</v>
      </c>
      <c r="R52" s="38" t="s">
        <v>151</v>
      </c>
      <c r="S52" s="45" t="s">
        <v>190</v>
      </c>
      <c r="T52" s="38" t="s">
        <v>151</v>
      </c>
      <c r="U52" s="38" t="s">
        <v>151</v>
      </c>
      <c r="V52" s="38" t="s">
        <v>151</v>
      </c>
      <c r="W52" s="38" t="s">
        <v>151</v>
      </c>
      <c r="X52" s="38" t="s">
        <v>151</v>
      </c>
      <c r="Y52" s="38" t="s">
        <v>151</v>
      </c>
      <c r="Z52" s="38" t="s">
        <v>151</v>
      </c>
      <c r="AA52" s="38" t="s">
        <v>151</v>
      </c>
      <c r="AB52" s="38" t="s">
        <v>151</v>
      </c>
      <c r="AC52" s="38" t="s">
        <v>151</v>
      </c>
      <c r="AD52" s="38" t="s">
        <v>151</v>
      </c>
      <c r="AE52" s="38" t="s">
        <v>151</v>
      </c>
      <c r="AF52" s="38" t="s">
        <v>151</v>
      </c>
      <c r="AG52" s="38" t="s">
        <v>151</v>
      </c>
      <c r="AH52" s="38" t="s">
        <v>151</v>
      </c>
      <c r="AI52" s="38" t="s">
        <v>151</v>
      </c>
      <c r="AJ52" s="38" t="s">
        <v>151</v>
      </c>
      <c r="AK52" s="38" t="s">
        <v>151</v>
      </c>
      <c r="AL52" s="38" t="s">
        <v>151</v>
      </c>
      <c r="AM52" s="38" t="s">
        <v>151</v>
      </c>
      <c r="AN52" s="38" t="s">
        <v>151</v>
      </c>
      <c r="AO52" s="38" t="s">
        <v>151</v>
      </c>
      <c r="AP52" s="38" t="s">
        <v>151</v>
      </c>
      <c r="AQ52" s="38" t="s">
        <v>151</v>
      </c>
      <c r="AR52" s="38" t="s">
        <v>151</v>
      </c>
    </row>
    <row r="53">
      <c r="A53" s="1" t="str">
        <f>IFERROR(__xludf.DUMMYFUNCTION("""COMPUTED_VALUE"""),"Groot")</f>
        <v>Groot</v>
      </c>
      <c r="B53" s="38" t="s">
        <v>151</v>
      </c>
      <c r="C53" s="38" t="s">
        <v>151</v>
      </c>
      <c r="D53" s="38" t="s">
        <v>151</v>
      </c>
      <c r="E53" s="38" t="s">
        <v>151</v>
      </c>
      <c r="F53" s="45" t="s">
        <v>190</v>
      </c>
      <c r="G53" s="38" t="s">
        <v>151</v>
      </c>
      <c r="H53" s="38" t="s">
        <v>151</v>
      </c>
      <c r="I53" s="38" t="s">
        <v>151</v>
      </c>
      <c r="J53" s="38" t="s">
        <v>151</v>
      </c>
      <c r="K53" s="38" t="s">
        <v>151</v>
      </c>
      <c r="L53" s="38" t="s">
        <v>151</v>
      </c>
      <c r="M53" s="38" t="s">
        <v>151</v>
      </c>
      <c r="N53" s="38" t="s">
        <v>151</v>
      </c>
      <c r="O53" s="38" t="s">
        <v>151</v>
      </c>
      <c r="P53" s="38" t="s">
        <v>151</v>
      </c>
      <c r="Q53" s="38" t="s">
        <v>151</v>
      </c>
      <c r="R53" s="38" t="s">
        <v>151</v>
      </c>
      <c r="S53" s="38" t="s">
        <v>151</v>
      </c>
      <c r="T53" s="38" t="s">
        <v>151</v>
      </c>
      <c r="U53" s="38" t="s">
        <v>151</v>
      </c>
      <c r="V53" s="38" t="s">
        <v>151</v>
      </c>
      <c r="W53" s="38" t="s">
        <v>151</v>
      </c>
      <c r="X53" s="38" t="s">
        <v>151</v>
      </c>
      <c r="Y53" s="38" t="s">
        <v>151</v>
      </c>
      <c r="Z53" s="38" t="s">
        <v>151</v>
      </c>
      <c r="AA53" s="38" t="s">
        <v>151</v>
      </c>
      <c r="AB53" s="38" t="s">
        <v>151</v>
      </c>
      <c r="AC53" s="38" t="s">
        <v>151</v>
      </c>
      <c r="AD53" s="38" t="s">
        <v>151</v>
      </c>
      <c r="AE53" s="38" t="s">
        <v>151</v>
      </c>
      <c r="AF53" s="38" t="s">
        <v>151</v>
      </c>
      <c r="AG53" s="38" t="s">
        <v>151</v>
      </c>
      <c r="AH53" s="38" t="s">
        <v>151</v>
      </c>
      <c r="AI53" s="38" t="s">
        <v>151</v>
      </c>
      <c r="AJ53" s="38" t="s">
        <v>151</v>
      </c>
      <c r="AK53" s="38" t="s">
        <v>151</v>
      </c>
      <c r="AL53" s="38" t="s">
        <v>151</v>
      </c>
      <c r="AM53" s="38" t="s">
        <v>151</v>
      </c>
      <c r="AN53" s="38" t="s">
        <v>151</v>
      </c>
      <c r="AO53" s="38" t="s">
        <v>151</v>
      </c>
      <c r="AP53" s="38" t="s">
        <v>151</v>
      </c>
      <c r="AQ53" s="38" t="s">
        <v>151</v>
      </c>
      <c r="AR53" s="38" t="s">
        <v>151</v>
      </c>
    </row>
    <row r="54">
      <c r="A54" s="1" t="str">
        <f>IFERROR(__xludf.DUMMYFUNCTION("""COMPUTED_VALUE"""),"Guillotine 2099")</f>
        <v>Guillotine 2099</v>
      </c>
      <c r="B54" s="38" t="s">
        <v>151</v>
      </c>
      <c r="C54" s="38" t="s">
        <v>151</v>
      </c>
      <c r="D54" s="38" t="s">
        <v>151</v>
      </c>
      <c r="E54" s="38" t="s">
        <v>151</v>
      </c>
      <c r="F54" s="45" t="s">
        <v>190</v>
      </c>
      <c r="G54" s="38" t="s">
        <v>151</v>
      </c>
      <c r="H54" s="38" t="s">
        <v>151</v>
      </c>
      <c r="I54" s="38" t="s">
        <v>151</v>
      </c>
      <c r="J54" s="38" t="s">
        <v>151</v>
      </c>
      <c r="K54" s="38" t="s">
        <v>151</v>
      </c>
      <c r="L54" s="38" t="s">
        <v>151</v>
      </c>
      <c r="M54" s="38" t="s">
        <v>151</v>
      </c>
      <c r="N54" s="38" t="s">
        <v>151</v>
      </c>
      <c r="O54" s="38" t="s">
        <v>151</v>
      </c>
      <c r="P54" s="38" t="s">
        <v>151</v>
      </c>
      <c r="Q54" s="38" t="s">
        <v>151</v>
      </c>
      <c r="R54" s="38" t="s">
        <v>151</v>
      </c>
      <c r="S54" s="38" t="s">
        <v>151</v>
      </c>
      <c r="T54" s="38" t="s">
        <v>151</v>
      </c>
      <c r="U54" s="38" t="s">
        <v>151</v>
      </c>
      <c r="V54" s="38" t="s">
        <v>151</v>
      </c>
      <c r="W54" s="38" t="s">
        <v>151</v>
      </c>
      <c r="X54" s="38" t="s">
        <v>151</v>
      </c>
      <c r="Y54" s="38" t="s">
        <v>151</v>
      </c>
      <c r="Z54" s="38" t="s">
        <v>151</v>
      </c>
      <c r="AA54" s="38" t="s">
        <v>151</v>
      </c>
      <c r="AB54" s="45" t="s">
        <v>190</v>
      </c>
      <c r="AC54" s="38" t="s">
        <v>151</v>
      </c>
      <c r="AD54" s="38" t="s">
        <v>151</v>
      </c>
      <c r="AE54" s="38" t="s">
        <v>151</v>
      </c>
      <c r="AF54" s="38" t="s">
        <v>151</v>
      </c>
      <c r="AG54" s="38" t="s">
        <v>151</v>
      </c>
      <c r="AH54" s="38" t="s">
        <v>151</v>
      </c>
      <c r="AI54" s="38" t="s">
        <v>151</v>
      </c>
      <c r="AJ54" s="38" t="s">
        <v>151</v>
      </c>
      <c r="AK54" s="38" t="s">
        <v>151</v>
      </c>
      <c r="AL54" s="38" t="s">
        <v>151</v>
      </c>
      <c r="AM54" s="38" t="s">
        <v>151</v>
      </c>
      <c r="AN54" s="38" t="s">
        <v>151</v>
      </c>
      <c r="AO54" s="38" t="s">
        <v>151</v>
      </c>
      <c r="AP54" s="38" t="s">
        <v>151</v>
      </c>
      <c r="AQ54" s="38" t="s">
        <v>151</v>
      </c>
      <c r="AR54" s="38" t="s">
        <v>151</v>
      </c>
    </row>
    <row r="55">
      <c r="A55" s="1" t="str">
        <f>IFERROR(__xludf.DUMMYFUNCTION("""COMPUTED_VALUE"""),"Havok")</f>
        <v>Havok</v>
      </c>
      <c r="B55" s="38" t="s">
        <v>151</v>
      </c>
      <c r="C55" s="38" t="s">
        <v>151</v>
      </c>
      <c r="D55" s="38" t="s">
        <v>151</v>
      </c>
      <c r="E55" s="38" t="s">
        <v>151</v>
      </c>
      <c r="F55" s="38" t="s">
        <v>151</v>
      </c>
      <c r="G55" s="38" t="s">
        <v>151</v>
      </c>
      <c r="H55" s="38" t="s">
        <v>151</v>
      </c>
      <c r="I55" s="38" t="s">
        <v>151</v>
      </c>
      <c r="J55" s="38" t="s">
        <v>151</v>
      </c>
      <c r="K55" s="38" t="s">
        <v>151</v>
      </c>
      <c r="L55" s="38" t="s">
        <v>151</v>
      </c>
      <c r="M55" s="38" t="s">
        <v>151</v>
      </c>
      <c r="N55" s="38" t="s">
        <v>151</v>
      </c>
      <c r="O55" s="38" t="s">
        <v>151</v>
      </c>
      <c r="P55" s="38" t="s">
        <v>151</v>
      </c>
      <c r="Q55" s="38" t="s">
        <v>151</v>
      </c>
      <c r="R55" s="38" t="s">
        <v>151</v>
      </c>
      <c r="S55" s="38" t="s">
        <v>151</v>
      </c>
      <c r="T55" s="45" t="s">
        <v>190</v>
      </c>
      <c r="U55" s="38" t="s">
        <v>151</v>
      </c>
      <c r="V55" s="38" t="s">
        <v>151</v>
      </c>
      <c r="W55" s="38" t="s">
        <v>151</v>
      </c>
      <c r="X55" s="38" t="s">
        <v>151</v>
      </c>
      <c r="Y55" s="38" t="s">
        <v>151</v>
      </c>
      <c r="Z55" s="38" t="s">
        <v>151</v>
      </c>
      <c r="AA55" s="38" t="s">
        <v>151</v>
      </c>
      <c r="AB55" s="38" t="s">
        <v>151</v>
      </c>
      <c r="AC55" s="38" t="s">
        <v>151</v>
      </c>
      <c r="AD55" s="38" t="s">
        <v>151</v>
      </c>
      <c r="AE55" s="38" t="s">
        <v>151</v>
      </c>
      <c r="AF55" s="38" t="s">
        <v>151</v>
      </c>
      <c r="AG55" s="38" t="s">
        <v>151</v>
      </c>
      <c r="AH55" s="38" t="s">
        <v>151</v>
      </c>
      <c r="AI55" s="38" t="s">
        <v>151</v>
      </c>
      <c r="AJ55" s="38" t="s">
        <v>151</v>
      </c>
      <c r="AK55" s="38" t="s">
        <v>151</v>
      </c>
      <c r="AL55" s="38" t="s">
        <v>151</v>
      </c>
      <c r="AM55" s="38" t="s">
        <v>151</v>
      </c>
      <c r="AN55" s="38" t="s">
        <v>151</v>
      </c>
      <c r="AO55" s="38" t="s">
        <v>151</v>
      </c>
      <c r="AP55" s="38" t="s">
        <v>151</v>
      </c>
      <c r="AQ55" s="38" t="s">
        <v>151</v>
      </c>
      <c r="AR55" s="38" t="s">
        <v>151</v>
      </c>
    </row>
    <row r="56">
      <c r="A56" s="1" t="str">
        <f>IFERROR(__xludf.DUMMYFUNCTION("""COMPUTED_VALUE"""),"Hawkeye")</f>
        <v>Hawkeye</v>
      </c>
      <c r="B56" s="38" t="s">
        <v>151</v>
      </c>
      <c r="C56" s="38" t="s">
        <v>151</v>
      </c>
      <c r="D56" s="38" t="s">
        <v>151</v>
      </c>
      <c r="E56" s="38" t="s">
        <v>151</v>
      </c>
      <c r="F56" s="38" t="s">
        <v>151</v>
      </c>
      <c r="G56" s="38" t="s">
        <v>151</v>
      </c>
      <c r="H56" s="38" t="s">
        <v>151</v>
      </c>
      <c r="I56" s="38" t="s">
        <v>151</v>
      </c>
      <c r="J56" s="38" t="s">
        <v>151</v>
      </c>
      <c r="K56" s="38" t="s">
        <v>151</v>
      </c>
      <c r="L56" s="38" t="s">
        <v>151</v>
      </c>
      <c r="M56" s="38" t="s">
        <v>151</v>
      </c>
      <c r="N56" s="38" t="s">
        <v>151</v>
      </c>
      <c r="O56" s="38" t="s">
        <v>151</v>
      </c>
      <c r="P56" s="38" t="s">
        <v>151</v>
      </c>
      <c r="Q56" s="38" t="s">
        <v>151</v>
      </c>
      <c r="R56" s="38" t="s">
        <v>151</v>
      </c>
      <c r="S56" s="38" t="s">
        <v>151</v>
      </c>
      <c r="T56" s="38" t="s">
        <v>151</v>
      </c>
      <c r="U56" s="38" t="s">
        <v>151</v>
      </c>
      <c r="V56" s="38" t="s">
        <v>151</v>
      </c>
      <c r="W56" s="38" t="s">
        <v>151</v>
      </c>
      <c r="X56" s="38" t="s">
        <v>151</v>
      </c>
      <c r="Y56" s="38" t="s">
        <v>151</v>
      </c>
      <c r="Z56" s="38" t="s">
        <v>151</v>
      </c>
      <c r="AA56" s="38" t="s">
        <v>151</v>
      </c>
      <c r="AB56" s="45" t="s">
        <v>190</v>
      </c>
      <c r="AC56" s="38" t="s">
        <v>151</v>
      </c>
      <c r="AD56" s="38" t="s">
        <v>151</v>
      </c>
      <c r="AE56" s="38" t="s">
        <v>151</v>
      </c>
      <c r="AF56" s="38" t="s">
        <v>151</v>
      </c>
      <c r="AG56" s="38" t="s">
        <v>151</v>
      </c>
      <c r="AH56" s="38" t="s">
        <v>151</v>
      </c>
      <c r="AI56" s="38" t="s">
        <v>151</v>
      </c>
      <c r="AJ56" s="38" t="s">
        <v>151</v>
      </c>
      <c r="AK56" s="38" t="s">
        <v>151</v>
      </c>
      <c r="AL56" s="38" t="s">
        <v>151</v>
      </c>
      <c r="AM56" s="38" t="s">
        <v>151</v>
      </c>
      <c r="AN56" s="38" t="s">
        <v>151</v>
      </c>
      <c r="AO56" s="38" t="s">
        <v>151</v>
      </c>
      <c r="AP56" s="38" t="s">
        <v>151</v>
      </c>
      <c r="AQ56" s="38" t="s">
        <v>151</v>
      </c>
      <c r="AR56" s="38" t="s">
        <v>151</v>
      </c>
    </row>
    <row r="57">
      <c r="A57" s="1" t="str">
        <f>IFERROR(__xludf.DUMMYFUNCTION("""COMPUTED_VALUE"""),"Hercules")</f>
        <v>Hercules</v>
      </c>
      <c r="B57" s="38" t="s">
        <v>151</v>
      </c>
      <c r="C57" s="38" t="s">
        <v>151</v>
      </c>
      <c r="D57" s="38" t="s">
        <v>151</v>
      </c>
      <c r="E57" s="38" t="s">
        <v>151</v>
      </c>
      <c r="F57" s="38" t="s">
        <v>151</v>
      </c>
      <c r="G57" s="38" t="s">
        <v>151</v>
      </c>
      <c r="H57" s="38" t="s">
        <v>151</v>
      </c>
      <c r="I57" s="38" t="s">
        <v>151</v>
      </c>
      <c r="J57" s="38" t="s">
        <v>151</v>
      </c>
      <c r="K57" s="38" t="s">
        <v>151</v>
      </c>
      <c r="L57" s="38" t="s">
        <v>151</v>
      </c>
      <c r="M57" s="38" t="s">
        <v>151</v>
      </c>
      <c r="N57" s="38" t="s">
        <v>151</v>
      </c>
      <c r="O57" s="38" t="s">
        <v>151</v>
      </c>
      <c r="P57" s="38" t="s">
        <v>151</v>
      </c>
      <c r="Q57" s="38" t="s">
        <v>151</v>
      </c>
      <c r="R57" s="38" t="s">
        <v>151</v>
      </c>
      <c r="S57" s="38" t="s">
        <v>151</v>
      </c>
      <c r="T57" s="38" t="s">
        <v>151</v>
      </c>
      <c r="U57" s="38" t="s">
        <v>151</v>
      </c>
      <c r="V57" s="38" t="s">
        <v>151</v>
      </c>
      <c r="W57" s="38" t="s">
        <v>151</v>
      </c>
      <c r="X57" s="38" t="s">
        <v>151</v>
      </c>
      <c r="Y57" s="38" t="s">
        <v>151</v>
      </c>
      <c r="Z57" s="38" t="s">
        <v>151</v>
      </c>
      <c r="AA57" s="38" t="s">
        <v>151</v>
      </c>
      <c r="AB57" s="38" t="s">
        <v>151</v>
      </c>
      <c r="AC57" s="38" t="s">
        <v>151</v>
      </c>
      <c r="AD57" s="38" t="s">
        <v>151</v>
      </c>
      <c r="AE57" s="38" t="s">
        <v>151</v>
      </c>
      <c r="AF57" s="38" t="s">
        <v>151</v>
      </c>
      <c r="AG57" s="38" t="s">
        <v>151</v>
      </c>
      <c r="AH57" s="38" t="s">
        <v>151</v>
      </c>
      <c r="AI57" s="38" t="s">
        <v>151</v>
      </c>
      <c r="AJ57" s="38" t="s">
        <v>151</v>
      </c>
      <c r="AK57" s="38" t="s">
        <v>151</v>
      </c>
      <c r="AL57" s="38" t="s">
        <v>151</v>
      </c>
      <c r="AM57" s="38" t="s">
        <v>151</v>
      </c>
      <c r="AN57" s="38" t="s">
        <v>151</v>
      </c>
      <c r="AO57" s="38" t="s">
        <v>151</v>
      </c>
      <c r="AP57" s="45" t="s">
        <v>190</v>
      </c>
      <c r="AQ57" s="38" t="s">
        <v>151</v>
      </c>
      <c r="AR57" s="38" t="s">
        <v>151</v>
      </c>
    </row>
    <row r="58">
      <c r="A58" s="1" t="str">
        <f>IFERROR(__xludf.DUMMYFUNCTION("""COMPUTED_VALUE"""),"High Evolutionary")</f>
        <v>High Evolutionary</v>
      </c>
      <c r="B58" s="38" t="s">
        <v>151</v>
      </c>
      <c r="C58" s="38" t="s">
        <v>151</v>
      </c>
      <c r="D58" s="38" t="s">
        <v>151</v>
      </c>
      <c r="E58" s="38" t="s">
        <v>151</v>
      </c>
      <c r="F58" s="38" t="s">
        <v>151</v>
      </c>
      <c r="G58" s="45" t="s">
        <v>190</v>
      </c>
      <c r="H58" s="38" t="s">
        <v>151</v>
      </c>
      <c r="I58" s="38" t="s">
        <v>151</v>
      </c>
      <c r="J58" s="38" t="s">
        <v>151</v>
      </c>
      <c r="K58" s="38" t="s">
        <v>151</v>
      </c>
      <c r="L58" s="38" t="s">
        <v>151</v>
      </c>
      <c r="M58" s="38" t="s">
        <v>151</v>
      </c>
      <c r="N58" s="38" t="s">
        <v>151</v>
      </c>
      <c r="O58" s="38" t="s">
        <v>151</v>
      </c>
      <c r="P58" s="38" t="s">
        <v>151</v>
      </c>
      <c r="Q58" s="38" t="s">
        <v>151</v>
      </c>
      <c r="R58" s="38" t="s">
        <v>151</v>
      </c>
      <c r="S58" s="38" t="s">
        <v>151</v>
      </c>
      <c r="T58" s="38" t="s">
        <v>151</v>
      </c>
      <c r="U58" s="38" t="s">
        <v>151</v>
      </c>
      <c r="V58" s="38" t="s">
        <v>151</v>
      </c>
      <c r="W58" s="38" t="s">
        <v>151</v>
      </c>
      <c r="X58" s="45" t="s">
        <v>190</v>
      </c>
      <c r="Y58" s="38" t="s">
        <v>151</v>
      </c>
      <c r="Z58" s="38" t="s">
        <v>151</v>
      </c>
      <c r="AA58" s="38" t="s">
        <v>151</v>
      </c>
      <c r="AB58" s="38" t="s">
        <v>151</v>
      </c>
      <c r="AC58" s="38" t="s">
        <v>151</v>
      </c>
      <c r="AD58" s="38" t="s">
        <v>151</v>
      </c>
      <c r="AE58" s="38" t="s">
        <v>151</v>
      </c>
      <c r="AF58" s="38" t="s">
        <v>151</v>
      </c>
      <c r="AG58" s="38" t="s">
        <v>151</v>
      </c>
      <c r="AH58" s="38" t="s">
        <v>151</v>
      </c>
      <c r="AI58" s="38" t="s">
        <v>151</v>
      </c>
      <c r="AJ58" s="45" t="s">
        <v>190</v>
      </c>
      <c r="AK58" s="38" t="s">
        <v>151</v>
      </c>
      <c r="AL58" s="38" t="s">
        <v>151</v>
      </c>
      <c r="AM58" s="38" t="s">
        <v>151</v>
      </c>
      <c r="AN58" s="38" t="s">
        <v>151</v>
      </c>
      <c r="AO58" s="38" t="s">
        <v>151</v>
      </c>
      <c r="AP58" s="38" t="s">
        <v>151</v>
      </c>
      <c r="AQ58" s="38" t="s">
        <v>151</v>
      </c>
      <c r="AR58" s="38" t="s">
        <v>151</v>
      </c>
    </row>
    <row r="59">
      <c r="A59" s="1" t="str">
        <f>IFERROR(__xludf.DUMMYFUNCTION("""COMPUTED_VALUE"""),"Hobgoblin (Phil Urich)")</f>
        <v>Hobgoblin (Phil Urich)</v>
      </c>
      <c r="B59" s="38" t="s">
        <v>151</v>
      </c>
      <c r="C59" s="38" t="s">
        <v>151</v>
      </c>
      <c r="D59" s="38" t="s">
        <v>151</v>
      </c>
      <c r="E59" s="38" t="s">
        <v>151</v>
      </c>
      <c r="F59" s="38" t="s">
        <v>151</v>
      </c>
      <c r="G59" s="38" t="s">
        <v>151</v>
      </c>
      <c r="H59" s="38" t="s">
        <v>151</v>
      </c>
      <c r="I59" s="38" t="s">
        <v>151</v>
      </c>
      <c r="J59" s="38" t="s">
        <v>151</v>
      </c>
      <c r="K59" s="38" t="s">
        <v>151</v>
      </c>
      <c r="L59" s="38" t="s">
        <v>151</v>
      </c>
      <c r="M59" s="38" t="s">
        <v>151</v>
      </c>
      <c r="N59" s="38" t="s">
        <v>151</v>
      </c>
      <c r="O59" s="38" t="s">
        <v>151</v>
      </c>
      <c r="P59" s="38" t="s">
        <v>151</v>
      </c>
      <c r="Q59" s="38" t="s">
        <v>151</v>
      </c>
      <c r="R59" s="38" t="s">
        <v>151</v>
      </c>
      <c r="S59" s="38" t="s">
        <v>151</v>
      </c>
      <c r="T59" s="38" t="s">
        <v>151</v>
      </c>
      <c r="U59" s="38" t="s">
        <v>151</v>
      </c>
      <c r="V59" s="38" t="s">
        <v>151</v>
      </c>
      <c r="W59" s="38" t="s">
        <v>151</v>
      </c>
      <c r="X59" s="38" t="s">
        <v>151</v>
      </c>
      <c r="Y59" s="38" t="s">
        <v>151</v>
      </c>
      <c r="Z59" s="38" t="s">
        <v>151</v>
      </c>
      <c r="AA59" s="38" t="s">
        <v>151</v>
      </c>
      <c r="AB59" s="45" t="s">
        <v>190</v>
      </c>
      <c r="AC59" s="38" t="s">
        <v>151</v>
      </c>
      <c r="AD59" s="38" t="s">
        <v>151</v>
      </c>
      <c r="AE59" s="38" t="s">
        <v>151</v>
      </c>
      <c r="AF59" s="38" t="s">
        <v>151</v>
      </c>
      <c r="AG59" s="38" t="s">
        <v>151</v>
      </c>
      <c r="AH59" s="38" t="s">
        <v>151</v>
      </c>
      <c r="AI59" s="38" t="s">
        <v>151</v>
      </c>
      <c r="AJ59" s="38" t="s">
        <v>151</v>
      </c>
      <c r="AK59" s="38" t="s">
        <v>151</v>
      </c>
      <c r="AL59" s="38" t="s">
        <v>151</v>
      </c>
      <c r="AM59" s="38" t="s">
        <v>151</v>
      </c>
      <c r="AN59" s="38" t="s">
        <v>151</v>
      </c>
      <c r="AO59" s="38" t="s">
        <v>151</v>
      </c>
      <c r="AP59" s="38" t="s">
        <v>151</v>
      </c>
      <c r="AQ59" s="38" t="s">
        <v>151</v>
      </c>
      <c r="AR59" s="38" t="s">
        <v>151</v>
      </c>
    </row>
    <row r="60">
      <c r="A60" s="1" t="str">
        <f>IFERROR(__xludf.DUMMYFUNCTION("""COMPUTED_VALUE"""),"Howard The Duck")</f>
        <v>Howard The Duck</v>
      </c>
      <c r="B60" s="38" t="s">
        <v>151</v>
      </c>
      <c r="C60" s="38" t="s">
        <v>151</v>
      </c>
      <c r="D60" s="38" t="s">
        <v>151</v>
      </c>
      <c r="E60" s="38" t="s">
        <v>151</v>
      </c>
      <c r="F60" s="45" t="s">
        <v>190</v>
      </c>
      <c r="G60" s="38" t="s">
        <v>151</v>
      </c>
      <c r="H60" s="38" t="s">
        <v>151</v>
      </c>
      <c r="I60" s="38" t="s">
        <v>151</v>
      </c>
      <c r="J60" s="38" t="s">
        <v>151</v>
      </c>
      <c r="K60" s="38" t="s">
        <v>151</v>
      </c>
      <c r="L60" s="38" t="s">
        <v>151</v>
      </c>
      <c r="M60" s="38" t="s">
        <v>151</v>
      </c>
      <c r="N60" s="38" t="s">
        <v>151</v>
      </c>
      <c r="O60" s="38" t="s">
        <v>151</v>
      </c>
      <c r="P60" s="38" t="s">
        <v>151</v>
      </c>
      <c r="Q60" s="38" t="s">
        <v>151</v>
      </c>
      <c r="R60" s="38" t="s">
        <v>151</v>
      </c>
      <c r="S60" s="38" t="s">
        <v>151</v>
      </c>
      <c r="T60" s="38" t="s">
        <v>151</v>
      </c>
      <c r="U60" s="38" t="s">
        <v>151</v>
      </c>
      <c r="V60" s="38" t="s">
        <v>151</v>
      </c>
      <c r="W60" s="38" t="s">
        <v>151</v>
      </c>
      <c r="X60" s="38" t="s">
        <v>151</v>
      </c>
      <c r="Y60" s="38" t="s">
        <v>151</v>
      </c>
      <c r="Z60" s="38" t="s">
        <v>151</v>
      </c>
      <c r="AA60" s="38" t="s">
        <v>151</v>
      </c>
      <c r="AB60" s="38" t="s">
        <v>151</v>
      </c>
      <c r="AC60" s="38" t="s">
        <v>151</v>
      </c>
      <c r="AD60" s="38" t="s">
        <v>151</v>
      </c>
      <c r="AE60" s="38" t="s">
        <v>151</v>
      </c>
      <c r="AF60" s="38" t="s">
        <v>151</v>
      </c>
      <c r="AG60" s="38" t="s">
        <v>151</v>
      </c>
      <c r="AH60" s="38" t="s">
        <v>151</v>
      </c>
      <c r="AI60" s="38" t="s">
        <v>151</v>
      </c>
      <c r="AJ60" s="38" t="s">
        <v>151</v>
      </c>
      <c r="AK60" s="38" t="s">
        <v>151</v>
      </c>
      <c r="AL60" s="38" t="s">
        <v>151</v>
      </c>
      <c r="AM60" s="38" t="s">
        <v>151</v>
      </c>
      <c r="AN60" s="38" t="s">
        <v>151</v>
      </c>
      <c r="AO60" s="38" t="s">
        <v>151</v>
      </c>
      <c r="AP60" s="38" t="s">
        <v>151</v>
      </c>
      <c r="AQ60" s="38" t="s">
        <v>151</v>
      </c>
      <c r="AR60" s="38" t="s">
        <v>151</v>
      </c>
    </row>
    <row r="61">
      <c r="A61" s="1" t="str">
        <f>IFERROR(__xludf.DUMMYFUNCTION("""COMPUTED_VALUE"""),"Hulk")</f>
        <v>Hulk</v>
      </c>
      <c r="B61" s="38" t="s">
        <v>151</v>
      </c>
      <c r="C61" s="38" t="s">
        <v>151</v>
      </c>
      <c r="D61" s="38" t="s">
        <v>151</v>
      </c>
      <c r="E61" s="38" t="s">
        <v>151</v>
      </c>
      <c r="F61" s="38" t="s">
        <v>151</v>
      </c>
      <c r="G61" s="45" t="s">
        <v>190</v>
      </c>
      <c r="H61" s="38" t="s">
        <v>151</v>
      </c>
      <c r="I61" s="38" t="s">
        <v>151</v>
      </c>
      <c r="J61" s="38" t="s">
        <v>151</v>
      </c>
      <c r="K61" s="38" t="s">
        <v>151</v>
      </c>
      <c r="L61" s="38" t="s">
        <v>151</v>
      </c>
      <c r="M61" s="38" t="s">
        <v>151</v>
      </c>
      <c r="N61" s="38" t="s">
        <v>151</v>
      </c>
      <c r="O61" s="38" t="s">
        <v>151</v>
      </c>
      <c r="P61" s="45" t="s">
        <v>190</v>
      </c>
      <c r="Q61" s="38" t="s">
        <v>151</v>
      </c>
      <c r="R61" s="38" t="s">
        <v>151</v>
      </c>
      <c r="S61" s="38" t="s">
        <v>151</v>
      </c>
      <c r="T61" s="38" t="s">
        <v>151</v>
      </c>
      <c r="U61" s="38" t="s">
        <v>151</v>
      </c>
      <c r="V61" s="38" t="s">
        <v>151</v>
      </c>
      <c r="W61" s="38" t="s">
        <v>151</v>
      </c>
      <c r="X61" s="38" t="s">
        <v>151</v>
      </c>
      <c r="Y61" s="38" t="s">
        <v>151</v>
      </c>
      <c r="Z61" s="45" t="s">
        <v>190</v>
      </c>
      <c r="AA61" s="38" t="s">
        <v>151</v>
      </c>
      <c r="AB61" s="45" t="s">
        <v>190</v>
      </c>
      <c r="AC61" s="38" t="s">
        <v>151</v>
      </c>
      <c r="AD61" s="38" t="s">
        <v>151</v>
      </c>
      <c r="AE61" s="38" t="s">
        <v>151</v>
      </c>
      <c r="AF61" s="38" t="s">
        <v>151</v>
      </c>
      <c r="AG61" s="38" t="s">
        <v>151</v>
      </c>
      <c r="AH61" s="38" t="s">
        <v>151</v>
      </c>
      <c r="AI61" s="45" t="s">
        <v>190</v>
      </c>
      <c r="AJ61" s="38" t="s">
        <v>151</v>
      </c>
      <c r="AK61" s="38" t="s">
        <v>151</v>
      </c>
      <c r="AL61" s="38" t="s">
        <v>151</v>
      </c>
      <c r="AM61" s="38" t="s">
        <v>151</v>
      </c>
      <c r="AN61" s="38" t="s">
        <v>151</v>
      </c>
      <c r="AO61" s="45" t="s">
        <v>190</v>
      </c>
      <c r="AP61" s="38" t="s">
        <v>151</v>
      </c>
      <c r="AQ61" s="38" t="s">
        <v>151</v>
      </c>
      <c r="AR61" s="38" t="s">
        <v>151</v>
      </c>
    </row>
    <row r="62">
      <c r="A62" s="1" t="str">
        <f>IFERROR(__xludf.DUMMYFUNCTION("""COMPUTED_VALUE"""),"Hulk (Immortal)")</f>
        <v>Hulk (Immortal)</v>
      </c>
      <c r="B62" s="38" t="s">
        <v>151</v>
      </c>
      <c r="C62" s="38" t="s">
        <v>151</v>
      </c>
      <c r="D62" s="38" t="s">
        <v>151</v>
      </c>
      <c r="E62" s="38" t="s">
        <v>151</v>
      </c>
      <c r="F62" s="38" t="s">
        <v>151</v>
      </c>
      <c r="G62" s="38" t="s">
        <v>151</v>
      </c>
      <c r="H62" s="38" t="s">
        <v>151</v>
      </c>
      <c r="I62" s="38" t="s">
        <v>151</v>
      </c>
      <c r="J62" s="38" t="s">
        <v>151</v>
      </c>
      <c r="K62" s="38" t="s">
        <v>151</v>
      </c>
      <c r="L62" s="38" t="s">
        <v>151</v>
      </c>
      <c r="M62" s="38" t="s">
        <v>151</v>
      </c>
      <c r="N62" s="38" t="s">
        <v>151</v>
      </c>
      <c r="O62" s="38" t="s">
        <v>151</v>
      </c>
      <c r="P62" s="38" t="s">
        <v>151</v>
      </c>
      <c r="Q62" s="38" t="s">
        <v>151</v>
      </c>
      <c r="R62" s="38" t="s">
        <v>151</v>
      </c>
      <c r="S62" s="38" t="s">
        <v>151</v>
      </c>
      <c r="T62" s="38" t="s">
        <v>151</v>
      </c>
      <c r="U62" s="38" t="s">
        <v>151</v>
      </c>
      <c r="V62" s="38" t="s">
        <v>151</v>
      </c>
      <c r="W62" s="38" t="s">
        <v>151</v>
      </c>
      <c r="X62" s="38" t="s">
        <v>151</v>
      </c>
      <c r="Y62" s="38" t="s">
        <v>151</v>
      </c>
      <c r="Z62" s="38" t="s">
        <v>151</v>
      </c>
      <c r="AA62" s="38" t="s">
        <v>151</v>
      </c>
      <c r="AB62" s="45" t="s">
        <v>190</v>
      </c>
      <c r="AC62" s="38" t="s">
        <v>151</v>
      </c>
      <c r="AD62" s="38" t="s">
        <v>151</v>
      </c>
      <c r="AE62" s="38" t="s">
        <v>151</v>
      </c>
      <c r="AF62" s="38" t="s">
        <v>151</v>
      </c>
      <c r="AG62" s="38" t="s">
        <v>151</v>
      </c>
      <c r="AH62" s="38" t="s">
        <v>151</v>
      </c>
      <c r="AI62" s="45" t="s">
        <v>190</v>
      </c>
      <c r="AJ62" s="38" t="s">
        <v>151</v>
      </c>
      <c r="AK62" s="38" t="s">
        <v>151</v>
      </c>
      <c r="AL62" s="38" t="s">
        <v>151</v>
      </c>
      <c r="AM62" s="38" t="s">
        <v>151</v>
      </c>
      <c r="AN62" s="38" t="s">
        <v>151</v>
      </c>
      <c r="AO62" s="38" t="s">
        <v>151</v>
      </c>
      <c r="AP62" s="38" t="s">
        <v>151</v>
      </c>
      <c r="AQ62" s="38" t="s">
        <v>151</v>
      </c>
      <c r="AR62" s="38" t="s">
        <v>151</v>
      </c>
    </row>
    <row r="63">
      <c r="A63" s="1" t="str">
        <f>IFERROR(__xludf.DUMMYFUNCTION("""COMPUTED_VALUE"""),"Hulk (Ragnarok)")</f>
        <v>Hulk (Ragnarok)</v>
      </c>
      <c r="B63" s="38" t="s">
        <v>151</v>
      </c>
      <c r="C63" s="38" t="s">
        <v>151</v>
      </c>
      <c r="D63" s="38" t="s">
        <v>151</v>
      </c>
      <c r="E63" s="38" t="s">
        <v>151</v>
      </c>
      <c r="F63" s="38" t="s">
        <v>151</v>
      </c>
      <c r="G63" s="38" t="s">
        <v>151</v>
      </c>
      <c r="H63" s="38" t="s">
        <v>151</v>
      </c>
      <c r="I63" s="38" t="s">
        <v>151</v>
      </c>
      <c r="J63" s="38" t="s">
        <v>151</v>
      </c>
      <c r="K63" s="38" t="s">
        <v>151</v>
      </c>
      <c r="L63" s="38" t="s">
        <v>151</v>
      </c>
      <c r="M63" s="38" t="s">
        <v>151</v>
      </c>
      <c r="N63" s="38" t="s">
        <v>151</v>
      </c>
      <c r="O63" s="38" t="s">
        <v>151</v>
      </c>
      <c r="P63" s="38" t="s">
        <v>151</v>
      </c>
      <c r="Q63" s="38" t="s">
        <v>151</v>
      </c>
      <c r="R63" s="38" t="s">
        <v>151</v>
      </c>
      <c r="S63" s="38" t="s">
        <v>151</v>
      </c>
      <c r="T63" s="38" t="s">
        <v>151</v>
      </c>
      <c r="U63" s="38" t="s">
        <v>151</v>
      </c>
      <c r="V63" s="38" t="s">
        <v>151</v>
      </c>
      <c r="W63" s="38" t="s">
        <v>151</v>
      </c>
      <c r="X63" s="38" t="s">
        <v>151</v>
      </c>
      <c r="Y63" s="38" t="s">
        <v>151</v>
      </c>
      <c r="Z63" s="38" t="s">
        <v>151</v>
      </c>
      <c r="AA63" s="38" t="s">
        <v>151</v>
      </c>
      <c r="AB63" s="45" t="s">
        <v>190</v>
      </c>
      <c r="AC63" s="38" t="s">
        <v>151</v>
      </c>
      <c r="AD63" s="38" t="s">
        <v>151</v>
      </c>
      <c r="AE63" s="38" t="s">
        <v>151</v>
      </c>
      <c r="AF63" s="38" t="s">
        <v>151</v>
      </c>
      <c r="AG63" s="38" t="s">
        <v>151</v>
      </c>
      <c r="AH63" s="38" t="s">
        <v>151</v>
      </c>
      <c r="AI63" s="45" t="s">
        <v>190</v>
      </c>
      <c r="AJ63" s="38" t="s">
        <v>151</v>
      </c>
      <c r="AK63" s="38" t="s">
        <v>151</v>
      </c>
      <c r="AL63" s="38" t="s">
        <v>151</v>
      </c>
      <c r="AM63" s="38" t="s">
        <v>151</v>
      </c>
      <c r="AN63" s="38" t="s">
        <v>151</v>
      </c>
      <c r="AO63" s="38" t="s">
        <v>151</v>
      </c>
      <c r="AP63" s="38" t="s">
        <v>151</v>
      </c>
      <c r="AQ63" s="38" t="s">
        <v>151</v>
      </c>
      <c r="AR63" s="38" t="s">
        <v>151</v>
      </c>
    </row>
    <row r="64">
      <c r="A64" s="1" t="str">
        <f>IFERROR(__xludf.DUMMYFUNCTION("""COMPUTED_VALUE"""),"Hulkbuster")</f>
        <v>Hulkbuster</v>
      </c>
      <c r="B64" s="38" t="s">
        <v>151</v>
      </c>
      <c r="C64" s="38" t="s">
        <v>151</v>
      </c>
      <c r="D64" s="38" t="s">
        <v>151</v>
      </c>
      <c r="E64" s="38" t="s">
        <v>151</v>
      </c>
      <c r="F64" s="38" t="s">
        <v>151</v>
      </c>
      <c r="G64" s="38" t="s">
        <v>151</v>
      </c>
      <c r="H64" s="38" t="s">
        <v>151</v>
      </c>
      <c r="I64" s="38" t="s">
        <v>151</v>
      </c>
      <c r="J64" s="38" t="s">
        <v>151</v>
      </c>
      <c r="K64" s="38" t="s">
        <v>151</v>
      </c>
      <c r="L64" s="38" t="s">
        <v>151</v>
      </c>
      <c r="M64" s="38" t="s">
        <v>151</v>
      </c>
      <c r="N64" s="38" t="s">
        <v>151</v>
      </c>
      <c r="O64" s="38" t="s">
        <v>151</v>
      </c>
      <c r="P64" s="45" t="s">
        <v>190</v>
      </c>
      <c r="Q64" s="38" t="s">
        <v>151</v>
      </c>
      <c r="R64" s="38" t="s">
        <v>151</v>
      </c>
      <c r="S64" s="38" t="s">
        <v>151</v>
      </c>
      <c r="T64" s="38" t="s">
        <v>151</v>
      </c>
      <c r="U64" s="38" t="s">
        <v>151</v>
      </c>
      <c r="V64" s="38" t="s">
        <v>151</v>
      </c>
      <c r="W64" s="38" t="s">
        <v>151</v>
      </c>
      <c r="X64" s="38" t="s">
        <v>151</v>
      </c>
      <c r="Y64" s="38" t="s">
        <v>151</v>
      </c>
      <c r="Z64" s="45" t="s">
        <v>190</v>
      </c>
      <c r="AA64" s="38" t="s">
        <v>151</v>
      </c>
      <c r="AB64" s="38" t="s">
        <v>151</v>
      </c>
      <c r="AC64" s="38" t="s">
        <v>151</v>
      </c>
      <c r="AD64" s="38" t="s">
        <v>151</v>
      </c>
      <c r="AE64" s="38" t="s">
        <v>151</v>
      </c>
      <c r="AF64" s="38" t="s">
        <v>151</v>
      </c>
      <c r="AG64" s="38" t="s">
        <v>151</v>
      </c>
      <c r="AH64" s="38" t="s">
        <v>151</v>
      </c>
      <c r="AI64" s="38" t="s">
        <v>151</v>
      </c>
      <c r="AJ64" s="38" t="s">
        <v>151</v>
      </c>
      <c r="AK64" s="38" t="s">
        <v>151</v>
      </c>
      <c r="AL64" s="38" t="s">
        <v>151</v>
      </c>
      <c r="AM64" s="38" t="s">
        <v>151</v>
      </c>
      <c r="AN64" s="38" t="s">
        <v>151</v>
      </c>
      <c r="AO64" s="45" t="s">
        <v>190</v>
      </c>
      <c r="AP64" s="38" t="s">
        <v>151</v>
      </c>
      <c r="AQ64" s="38" t="s">
        <v>151</v>
      </c>
      <c r="AR64" s="38" t="s">
        <v>151</v>
      </c>
    </row>
    <row r="65">
      <c r="A65" s="1" t="str">
        <f>IFERROR(__xludf.DUMMYFUNCTION("""COMPUTED_VALUE"""),"Hulkling")</f>
        <v>Hulkling</v>
      </c>
      <c r="B65" s="38" t="s">
        <v>151</v>
      </c>
      <c r="C65" s="38" t="s">
        <v>151</v>
      </c>
      <c r="D65" s="38" t="s">
        <v>151</v>
      </c>
      <c r="E65" s="38" t="s">
        <v>151</v>
      </c>
      <c r="F65" s="38" t="s">
        <v>151</v>
      </c>
      <c r="G65" s="38" t="s">
        <v>151</v>
      </c>
      <c r="H65" s="38" t="s">
        <v>151</v>
      </c>
      <c r="I65" s="38" t="s">
        <v>151</v>
      </c>
      <c r="J65" s="38" t="s">
        <v>151</v>
      </c>
      <c r="K65" s="38" t="s">
        <v>151</v>
      </c>
      <c r="L65" s="38" t="s">
        <v>151</v>
      </c>
      <c r="M65" s="38" t="s">
        <v>151</v>
      </c>
      <c r="N65" s="38" t="s">
        <v>151</v>
      </c>
      <c r="O65" s="38" t="s">
        <v>151</v>
      </c>
      <c r="P65" s="38" t="s">
        <v>151</v>
      </c>
      <c r="Q65" s="38" t="s">
        <v>151</v>
      </c>
      <c r="R65" s="38" t="s">
        <v>151</v>
      </c>
      <c r="S65" s="38" t="s">
        <v>151</v>
      </c>
      <c r="T65" s="38" t="s">
        <v>151</v>
      </c>
      <c r="U65" s="38" t="s">
        <v>151</v>
      </c>
      <c r="V65" s="38" t="s">
        <v>151</v>
      </c>
      <c r="W65" s="38" t="s">
        <v>151</v>
      </c>
      <c r="X65" s="38" t="s">
        <v>151</v>
      </c>
      <c r="Y65" s="38" t="s">
        <v>151</v>
      </c>
      <c r="Z65" s="38" t="s">
        <v>151</v>
      </c>
      <c r="AA65" s="38" t="s">
        <v>151</v>
      </c>
      <c r="AB65" s="45" t="s">
        <v>190</v>
      </c>
      <c r="AC65" s="45" t="s">
        <v>190</v>
      </c>
      <c r="AD65" s="45" t="s">
        <v>190</v>
      </c>
      <c r="AE65" s="38" t="s">
        <v>151</v>
      </c>
      <c r="AF65" s="45" t="s">
        <v>190</v>
      </c>
      <c r="AG65" s="38" t="s">
        <v>151</v>
      </c>
      <c r="AH65" s="38" t="s">
        <v>151</v>
      </c>
      <c r="AI65" s="38" t="s">
        <v>151</v>
      </c>
      <c r="AJ65" s="38" t="s">
        <v>151</v>
      </c>
      <c r="AK65" s="45" t="s">
        <v>190</v>
      </c>
      <c r="AL65" s="38" t="s">
        <v>151</v>
      </c>
      <c r="AM65" s="38" t="s">
        <v>151</v>
      </c>
      <c r="AN65" s="38" t="s">
        <v>151</v>
      </c>
      <c r="AO65" s="38" t="s">
        <v>151</v>
      </c>
      <c r="AP65" s="45" t="s">
        <v>190</v>
      </c>
      <c r="AQ65" s="38" t="s">
        <v>151</v>
      </c>
      <c r="AR65" s="38" t="s">
        <v>151</v>
      </c>
    </row>
    <row r="66">
      <c r="A66" s="1" t="str">
        <f>IFERROR(__xludf.DUMMYFUNCTION("""COMPUTED_VALUE"""),"Human Torch")</f>
        <v>Human Torch</v>
      </c>
      <c r="B66" s="38" t="s">
        <v>151</v>
      </c>
      <c r="C66" s="38" t="s">
        <v>151</v>
      </c>
      <c r="D66" s="38" t="s">
        <v>151</v>
      </c>
      <c r="E66" s="38" t="s">
        <v>151</v>
      </c>
      <c r="F66" s="38" t="s">
        <v>151</v>
      </c>
      <c r="G66" s="38" t="s">
        <v>151</v>
      </c>
      <c r="H66" s="45" t="s">
        <v>190</v>
      </c>
      <c r="I66" s="38" t="s">
        <v>151</v>
      </c>
      <c r="J66" s="38" t="s">
        <v>151</v>
      </c>
      <c r="K66" s="38" t="s">
        <v>151</v>
      </c>
      <c r="L66" s="38" t="s">
        <v>151</v>
      </c>
      <c r="M66" s="38" t="s">
        <v>151</v>
      </c>
      <c r="N66" s="38" t="s">
        <v>151</v>
      </c>
      <c r="O66" s="38" t="s">
        <v>151</v>
      </c>
      <c r="P66" s="38" t="s">
        <v>151</v>
      </c>
      <c r="Q66" s="38" t="s">
        <v>151</v>
      </c>
      <c r="R66" s="45" t="s">
        <v>190</v>
      </c>
      <c r="S66" s="38" t="s">
        <v>151</v>
      </c>
      <c r="T66" s="45" t="s">
        <v>190</v>
      </c>
      <c r="U66" s="38" t="s">
        <v>151</v>
      </c>
      <c r="V66" s="38" t="s">
        <v>151</v>
      </c>
      <c r="W66" s="38" t="s">
        <v>151</v>
      </c>
      <c r="X66" s="38" t="s">
        <v>151</v>
      </c>
      <c r="Y66" s="38" t="s">
        <v>151</v>
      </c>
      <c r="Z66" s="38" t="s">
        <v>151</v>
      </c>
      <c r="AA66" s="38" t="s">
        <v>151</v>
      </c>
      <c r="AB66" s="38" t="s">
        <v>151</v>
      </c>
      <c r="AC66" s="38" t="s">
        <v>151</v>
      </c>
      <c r="AD66" s="38" t="s">
        <v>151</v>
      </c>
      <c r="AE66" s="38" t="s">
        <v>151</v>
      </c>
      <c r="AF66" s="38" t="s">
        <v>151</v>
      </c>
      <c r="AG66" s="38" t="s">
        <v>151</v>
      </c>
      <c r="AH66" s="38" t="s">
        <v>151</v>
      </c>
      <c r="AI66" s="38" t="s">
        <v>151</v>
      </c>
      <c r="AJ66" s="38" t="s">
        <v>151</v>
      </c>
      <c r="AK66" s="38" t="s">
        <v>151</v>
      </c>
      <c r="AL66" s="38" t="s">
        <v>151</v>
      </c>
      <c r="AM66" s="38" t="s">
        <v>151</v>
      </c>
      <c r="AN66" s="38" t="s">
        <v>151</v>
      </c>
      <c r="AO66" s="38" t="s">
        <v>151</v>
      </c>
      <c r="AP66" s="38" t="s">
        <v>151</v>
      </c>
      <c r="AQ66" s="38" t="s">
        <v>151</v>
      </c>
      <c r="AR66" s="38" t="s">
        <v>151</v>
      </c>
    </row>
    <row r="67">
      <c r="A67" s="1" t="str">
        <f>IFERROR(__xludf.DUMMYFUNCTION("""COMPUTED_VALUE"""),"Hyperion")</f>
        <v>Hyperion</v>
      </c>
      <c r="B67" s="38" t="s">
        <v>151</v>
      </c>
      <c r="C67" s="38" t="s">
        <v>151</v>
      </c>
      <c r="D67" s="38" t="s">
        <v>151</v>
      </c>
      <c r="E67" s="38" t="s">
        <v>151</v>
      </c>
      <c r="F67" s="38" t="s">
        <v>151</v>
      </c>
      <c r="G67" s="38" t="s">
        <v>151</v>
      </c>
      <c r="H67" s="38" t="s">
        <v>151</v>
      </c>
      <c r="I67" s="38" t="s">
        <v>151</v>
      </c>
      <c r="J67" s="38" t="s">
        <v>151</v>
      </c>
      <c r="K67" s="38" t="s">
        <v>151</v>
      </c>
      <c r="L67" s="38" t="s">
        <v>151</v>
      </c>
      <c r="M67" s="38" t="s">
        <v>151</v>
      </c>
      <c r="N67" s="38" t="s">
        <v>151</v>
      </c>
      <c r="O67" s="38" t="s">
        <v>151</v>
      </c>
      <c r="P67" s="38" t="s">
        <v>151</v>
      </c>
      <c r="Q67" s="38" t="s">
        <v>151</v>
      </c>
      <c r="R67" s="38" t="s">
        <v>151</v>
      </c>
      <c r="S67" s="38" t="s">
        <v>151</v>
      </c>
      <c r="T67" s="38" t="s">
        <v>151</v>
      </c>
      <c r="U67" s="38" t="s">
        <v>151</v>
      </c>
      <c r="V67" s="38" t="s">
        <v>151</v>
      </c>
      <c r="W67" s="38" t="s">
        <v>151</v>
      </c>
      <c r="X67" s="38" t="s">
        <v>151</v>
      </c>
      <c r="Y67" s="38" t="s">
        <v>151</v>
      </c>
      <c r="Z67" s="38" t="s">
        <v>151</v>
      </c>
      <c r="AA67" s="38" t="s">
        <v>151</v>
      </c>
      <c r="AB67" s="45" t="s">
        <v>190</v>
      </c>
      <c r="AC67" s="38" t="s">
        <v>151</v>
      </c>
      <c r="AD67" s="38" t="s">
        <v>151</v>
      </c>
      <c r="AE67" s="38" t="s">
        <v>151</v>
      </c>
      <c r="AF67" s="38" t="s">
        <v>151</v>
      </c>
      <c r="AG67" s="38" t="s">
        <v>151</v>
      </c>
      <c r="AH67" s="38" t="s">
        <v>151</v>
      </c>
      <c r="AI67" s="38" t="s">
        <v>151</v>
      </c>
      <c r="AJ67" s="38" t="s">
        <v>151</v>
      </c>
      <c r="AK67" s="38" t="s">
        <v>151</v>
      </c>
      <c r="AL67" s="38" t="s">
        <v>151</v>
      </c>
      <c r="AM67" s="38" t="s">
        <v>151</v>
      </c>
      <c r="AN67" s="38" t="s">
        <v>151</v>
      </c>
      <c r="AO67" s="38" t="s">
        <v>151</v>
      </c>
      <c r="AP67" s="38" t="s">
        <v>151</v>
      </c>
      <c r="AQ67" s="38" t="s">
        <v>151</v>
      </c>
      <c r="AR67" s="38" t="s">
        <v>151</v>
      </c>
    </row>
    <row r="68">
      <c r="A68" s="1" t="str">
        <f>IFERROR(__xludf.DUMMYFUNCTION("""COMPUTED_VALUE"""),"Iceman")</f>
        <v>Iceman</v>
      </c>
      <c r="B68" s="38" t="s">
        <v>151</v>
      </c>
      <c r="C68" s="38" t="s">
        <v>151</v>
      </c>
      <c r="D68" s="38" t="s">
        <v>151</v>
      </c>
      <c r="E68" s="38" t="s">
        <v>151</v>
      </c>
      <c r="F68" s="45" t="s">
        <v>190</v>
      </c>
      <c r="G68" s="38" t="s">
        <v>151</v>
      </c>
      <c r="H68" s="45" t="s">
        <v>190</v>
      </c>
      <c r="I68" s="38" t="s">
        <v>151</v>
      </c>
      <c r="J68" s="38" t="s">
        <v>151</v>
      </c>
      <c r="K68" s="38" t="s">
        <v>151</v>
      </c>
      <c r="L68" s="38" t="s">
        <v>151</v>
      </c>
      <c r="M68" s="38" t="s">
        <v>151</v>
      </c>
      <c r="N68" s="38" t="s">
        <v>151</v>
      </c>
      <c r="O68" s="38" t="s">
        <v>151</v>
      </c>
      <c r="P68" s="38" t="s">
        <v>151</v>
      </c>
      <c r="Q68" s="38" t="s">
        <v>151</v>
      </c>
      <c r="R68" s="45" t="s">
        <v>190</v>
      </c>
      <c r="S68" s="38" t="s">
        <v>151</v>
      </c>
      <c r="T68" s="45" t="s">
        <v>190</v>
      </c>
      <c r="U68" s="38" t="s">
        <v>151</v>
      </c>
      <c r="V68" s="38" t="s">
        <v>151</v>
      </c>
      <c r="W68" s="38" t="s">
        <v>151</v>
      </c>
      <c r="X68" s="38" t="s">
        <v>151</v>
      </c>
      <c r="Y68" s="45" t="s">
        <v>190</v>
      </c>
      <c r="Z68" s="38" t="s">
        <v>151</v>
      </c>
      <c r="AA68" s="38" t="s">
        <v>151</v>
      </c>
      <c r="AB68" s="45" t="s">
        <v>190</v>
      </c>
      <c r="AC68" s="38" t="s">
        <v>151</v>
      </c>
      <c r="AD68" s="38" t="s">
        <v>151</v>
      </c>
      <c r="AE68" s="38" t="s">
        <v>151</v>
      </c>
      <c r="AF68" s="38" t="s">
        <v>151</v>
      </c>
      <c r="AG68" s="38" t="s">
        <v>151</v>
      </c>
      <c r="AH68" s="38" t="s">
        <v>151</v>
      </c>
      <c r="AI68" s="38" t="s">
        <v>151</v>
      </c>
      <c r="AJ68" s="38" t="s">
        <v>151</v>
      </c>
      <c r="AK68" s="38" t="s">
        <v>151</v>
      </c>
      <c r="AL68" s="38" t="s">
        <v>151</v>
      </c>
      <c r="AM68" s="38" t="s">
        <v>151</v>
      </c>
      <c r="AN68" s="38" t="s">
        <v>151</v>
      </c>
      <c r="AO68" s="38" t="s">
        <v>151</v>
      </c>
      <c r="AP68" s="38" t="s">
        <v>151</v>
      </c>
      <c r="AQ68" s="38" t="s">
        <v>151</v>
      </c>
      <c r="AR68" s="38" t="s">
        <v>151</v>
      </c>
    </row>
    <row r="69">
      <c r="A69" s="1" t="str">
        <f>IFERROR(__xludf.DUMMYFUNCTION("""COMPUTED_VALUE"""),"Ikaris")</f>
        <v>Ikaris</v>
      </c>
      <c r="B69" s="38" t="s">
        <v>151</v>
      </c>
      <c r="C69" s="38" t="s">
        <v>151</v>
      </c>
      <c r="D69" s="38" t="s">
        <v>151</v>
      </c>
      <c r="E69" s="38" t="s">
        <v>151</v>
      </c>
      <c r="F69" s="38" t="s">
        <v>151</v>
      </c>
      <c r="G69" s="38" t="s">
        <v>151</v>
      </c>
      <c r="H69" s="38" t="s">
        <v>151</v>
      </c>
      <c r="I69" s="38" t="s">
        <v>151</v>
      </c>
      <c r="J69" s="38" t="s">
        <v>151</v>
      </c>
      <c r="K69" s="38" t="s">
        <v>151</v>
      </c>
      <c r="L69" s="38" t="s">
        <v>151</v>
      </c>
      <c r="M69" s="38" t="s">
        <v>151</v>
      </c>
      <c r="N69" s="38" t="s">
        <v>151</v>
      </c>
      <c r="O69" s="38" t="s">
        <v>151</v>
      </c>
      <c r="P69" s="38" t="s">
        <v>151</v>
      </c>
      <c r="Q69" s="38" t="s">
        <v>151</v>
      </c>
      <c r="R69" s="38" t="s">
        <v>151</v>
      </c>
      <c r="S69" s="38" t="s">
        <v>151</v>
      </c>
      <c r="T69" s="45" t="s">
        <v>190</v>
      </c>
      <c r="U69" s="38" t="s">
        <v>151</v>
      </c>
      <c r="V69" s="38" t="s">
        <v>151</v>
      </c>
      <c r="W69" s="38" t="s">
        <v>151</v>
      </c>
      <c r="X69" s="38" t="s">
        <v>151</v>
      </c>
      <c r="Y69" s="38" t="s">
        <v>151</v>
      </c>
      <c r="Z69" s="38" t="s">
        <v>151</v>
      </c>
      <c r="AA69" s="38" t="s">
        <v>151</v>
      </c>
      <c r="AB69" s="38" t="s">
        <v>151</v>
      </c>
      <c r="AC69" s="38" t="s">
        <v>151</v>
      </c>
      <c r="AD69" s="38" t="s">
        <v>151</v>
      </c>
      <c r="AE69" s="38" t="s">
        <v>151</v>
      </c>
      <c r="AF69" s="38" t="s">
        <v>151</v>
      </c>
      <c r="AG69" s="38" t="s">
        <v>151</v>
      </c>
      <c r="AH69" s="38" t="s">
        <v>151</v>
      </c>
      <c r="AI69" s="38" t="s">
        <v>151</v>
      </c>
      <c r="AJ69" s="38" t="s">
        <v>151</v>
      </c>
      <c r="AK69" s="45" t="s">
        <v>190</v>
      </c>
      <c r="AL69" s="38" t="s">
        <v>151</v>
      </c>
      <c r="AM69" s="38" t="s">
        <v>151</v>
      </c>
      <c r="AN69" s="38" t="s">
        <v>151</v>
      </c>
      <c r="AO69" s="38" t="s">
        <v>151</v>
      </c>
      <c r="AP69" s="38" t="s">
        <v>151</v>
      </c>
      <c r="AQ69" s="38" t="s">
        <v>151</v>
      </c>
      <c r="AR69" s="38" t="s">
        <v>151</v>
      </c>
    </row>
    <row r="70">
      <c r="A70" s="1" t="str">
        <f>IFERROR(__xludf.DUMMYFUNCTION("""COMPUTED_VALUE"""),"Imperiosa")</f>
        <v>Imperiosa</v>
      </c>
      <c r="B70" s="38" t="s">
        <v>151</v>
      </c>
      <c r="C70" s="38" t="s">
        <v>151</v>
      </c>
      <c r="D70" s="38" t="s">
        <v>151</v>
      </c>
      <c r="E70" s="38" t="s">
        <v>151</v>
      </c>
      <c r="F70" s="45" t="s">
        <v>190</v>
      </c>
      <c r="G70" s="38" t="s">
        <v>151</v>
      </c>
      <c r="H70" s="38" t="s">
        <v>151</v>
      </c>
      <c r="I70" s="38" t="s">
        <v>151</v>
      </c>
      <c r="J70" s="38" t="s">
        <v>151</v>
      </c>
      <c r="K70" s="38" t="s">
        <v>151</v>
      </c>
      <c r="L70" s="38" t="s">
        <v>151</v>
      </c>
      <c r="M70" s="45" t="s">
        <v>190</v>
      </c>
      <c r="N70" s="38" t="s">
        <v>151</v>
      </c>
      <c r="O70" s="38" t="s">
        <v>151</v>
      </c>
      <c r="P70" s="38" t="s">
        <v>151</v>
      </c>
      <c r="Q70" s="38" t="s">
        <v>151</v>
      </c>
      <c r="R70" s="38" t="s">
        <v>151</v>
      </c>
      <c r="S70" s="38" t="s">
        <v>151</v>
      </c>
      <c r="T70" s="38" t="s">
        <v>151</v>
      </c>
      <c r="U70" s="38" t="s">
        <v>151</v>
      </c>
      <c r="V70" s="38" t="s">
        <v>151</v>
      </c>
      <c r="W70" s="38" t="s">
        <v>151</v>
      </c>
      <c r="X70" s="38" t="s">
        <v>151</v>
      </c>
      <c r="Y70" s="38" t="s">
        <v>151</v>
      </c>
      <c r="Z70" s="38" t="s">
        <v>151</v>
      </c>
      <c r="AA70" s="38" t="s">
        <v>151</v>
      </c>
      <c r="AB70" s="38" t="s">
        <v>151</v>
      </c>
      <c r="AC70" s="38" t="s">
        <v>151</v>
      </c>
      <c r="AD70" s="45" t="s">
        <v>190</v>
      </c>
      <c r="AE70" s="38" t="s">
        <v>151</v>
      </c>
      <c r="AF70" s="38" t="s">
        <v>151</v>
      </c>
      <c r="AG70" s="38" t="s">
        <v>151</v>
      </c>
      <c r="AH70" s="38" t="s">
        <v>151</v>
      </c>
      <c r="AI70" s="38" t="s">
        <v>151</v>
      </c>
      <c r="AJ70" s="38" t="s">
        <v>151</v>
      </c>
      <c r="AK70" s="38" t="s">
        <v>151</v>
      </c>
      <c r="AL70" s="38" t="s">
        <v>151</v>
      </c>
      <c r="AM70" s="45" t="s">
        <v>190</v>
      </c>
      <c r="AN70" s="38" t="s">
        <v>151</v>
      </c>
      <c r="AO70" s="38" t="s">
        <v>151</v>
      </c>
      <c r="AP70" s="38" t="s">
        <v>151</v>
      </c>
      <c r="AQ70" s="38" t="s">
        <v>151</v>
      </c>
      <c r="AR70" s="38" t="s">
        <v>151</v>
      </c>
    </row>
    <row r="71">
      <c r="A71" s="1" t="str">
        <f>IFERROR(__xludf.DUMMYFUNCTION("""COMPUTED_VALUE"""),"Iron Man (Infamous)")</f>
        <v>Iron Man (Infamous)</v>
      </c>
      <c r="B71" s="38" t="s">
        <v>151</v>
      </c>
      <c r="C71" s="38" t="s">
        <v>151</v>
      </c>
      <c r="D71" s="38" t="s">
        <v>151</v>
      </c>
      <c r="E71" s="38" t="s">
        <v>151</v>
      </c>
      <c r="F71" s="38" t="s">
        <v>151</v>
      </c>
      <c r="G71" s="38" t="s">
        <v>151</v>
      </c>
      <c r="H71" s="38" t="s">
        <v>151</v>
      </c>
      <c r="I71" s="38" t="s">
        <v>151</v>
      </c>
      <c r="J71" s="38" t="s">
        <v>151</v>
      </c>
      <c r="K71" s="38" t="s">
        <v>151</v>
      </c>
      <c r="L71" s="38" t="s">
        <v>151</v>
      </c>
      <c r="M71" s="38" t="s">
        <v>151</v>
      </c>
      <c r="N71" s="38" t="s">
        <v>151</v>
      </c>
      <c r="O71" s="38" t="s">
        <v>151</v>
      </c>
      <c r="P71" s="38" t="s">
        <v>151</v>
      </c>
      <c r="Q71" s="38" t="s">
        <v>151</v>
      </c>
      <c r="R71" s="38" t="s">
        <v>151</v>
      </c>
      <c r="S71" s="38" t="s">
        <v>151</v>
      </c>
      <c r="T71" s="45" t="s">
        <v>190</v>
      </c>
      <c r="U71" s="38" t="s">
        <v>151</v>
      </c>
      <c r="V71" s="38" t="s">
        <v>151</v>
      </c>
      <c r="W71" s="38" t="s">
        <v>151</v>
      </c>
      <c r="X71" s="38" t="s">
        <v>151</v>
      </c>
      <c r="Y71" s="38" t="s">
        <v>151</v>
      </c>
      <c r="Z71" s="38" t="s">
        <v>151</v>
      </c>
      <c r="AA71" s="38" t="s">
        <v>151</v>
      </c>
      <c r="AB71" s="38" t="s">
        <v>151</v>
      </c>
      <c r="AC71" s="38" t="s">
        <v>151</v>
      </c>
      <c r="AD71" s="38" t="s">
        <v>151</v>
      </c>
      <c r="AE71" s="38" t="s">
        <v>151</v>
      </c>
      <c r="AF71" s="38" t="s">
        <v>151</v>
      </c>
      <c r="AG71" s="38" t="s">
        <v>151</v>
      </c>
      <c r="AH71" s="38" t="s">
        <v>151</v>
      </c>
      <c r="AI71" s="38" t="s">
        <v>151</v>
      </c>
      <c r="AJ71" s="38" t="s">
        <v>151</v>
      </c>
      <c r="AK71" s="45" t="s">
        <v>190</v>
      </c>
      <c r="AL71" s="38" t="s">
        <v>151</v>
      </c>
      <c r="AM71" s="38" t="s">
        <v>151</v>
      </c>
      <c r="AN71" s="38" t="s">
        <v>151</v>
      </c>
      <c r="AO71" s="38" t="s">
        <v>151</v>
      </c>
      <c r="AP71" s="38" t="s">
        <v>151</v>
      </c>
      <c r="AQ71" s="38" t="s">
        <v>151</v>
      </c>
      <c r="AR71" s="38" t="s">
        <v>151</v>
      </c>
    </row>
    <row r="72">
      <c r="A72" s="1" t="str">
        <f>IFERROR(__xludf.DUMMYFUNCTION("""COMPUTED_VALUE"""),"Iron Man (Infinity War)")</f>
        <v>Iron Man (Infinity War)</v>
      </c>
      <c r="B72" s="38" t="s">
        <v>151</v>
      </c>
      <c r="C72" s="38" t="s">
        <v>151</v>
      </c>
      <c r="D72" s="38" t="s">
        <v>151</v>
      </c>
      <c r="E72" s="38" t="s">
        <v>151</v>
      </c>
      <c r="F72" s="45" t="s">
        <v>190</v>
      </c>
      <c r="G72" s="38" t="s">
        <v>151</v>
      </c>
      <c r="H72" s="45" t="s">
        <v>190</v>
      </c>
      <c r="I72" s="38" t="s">
        <v>151</v>
      </c>
      <c r="J72" s="38" t="s">
        <v>151</v>
      </c>
      <c r="K72" s="38" t="s">
        <v>151</v>
      </c>
      <c r="L72" s="38" t="s">
        <v>151</v>
      </c>
      <c r="M72" s="38" t="s">
        <v>151</v>
      </c>
      <c r="N72" s="38" t="s">
        <v>151</v>
      </c>
      <c r="O72" s="38" t="s">
        <v>151</v>
      </c>
      <c r="P72" s="38" t="s">
        <v>151</v>
      </c>
      <c r="Q72" s="38" t="s">
        <v>151</v>
      </c>
      <c r="R72" s="38" t="s">
        <v>151</v>
      </c>
      <c r="S72" s="38" t="s">
        <v>151</v>
      </c>
      <c r="T72" s="38" t="s">
        <v>151</v>
      </c>
      <c r="U72" s="38" t="s">
        <v>151</v>
      </c>
      <c r="V72" s="38" t="s">
        <v>151</v>
      </c>
      <c r="W72" s="38" t="s">
        <v>151</v>
      </c>
      <c r="X72" s="38" t="s">
        <v>151</v>
      </c>
      <c r="Y72" s="38" t="s">
        <v>151</v>
      </c>
      <c r="Z72" s="38" t="s">
        <v>151</v>
      </c>
      <c r="AA72" s="38" t="s">
        <v>151</v>
      </c>
      <c r="AB72" s="38" t="s">
        <v>151</v>
      </c>
      <c r="AC72" s="38" t="s">
        <v>151</v>
      </c>
      <c r="AD72" s="38" t="s">
        <v>151</v>
      </c>
      <c r="AE72" s="38" t="s">
        <v>151</v>
      </c>
      <c r="AF72" s="38" t="s">
        <v>151</v>
      </c>
      <c r="AG72" s="38" t="s">
        <v>151</v>
      </c>
      <c r="AH72" s="38" t="s">
        <v>151</v>
      </c>
      <c r="AI72" s="38" t="s">
        <v>151</v>
      </c>
      <c r="AJ72" s="38" t="s">
        <v>151</v>
      </c>
      <c r="AK72" s="38" t="s">
        <v>151</v>
      </c>
      <c r="AL72" s="38" t="s">
        <v>151</v>
      </c>
      <c r="AM72" s="38" t="s">
        <v>151</v>
      </c>
      <c r="AN72" s="38" t="s">
        <v>151</v>
      </c>
      <c r="AO72" s="38" t="s">
        <v>151</v>
      </c>
      <c r="AP72" s="38" t="s">
        <v>151</v>
      </c>
      <c r="AQ72" s="38" t="s">
        <v>151</v>
      </c>
      <c r="AR72" s="38" t="s">
        <v>151</v>
      </c>
    </row>
    <row r="73">
      <c r="A73" s="1" t="str">
        <f>IFERROR(__xludf.DUMMYFUNCTION("""COMPUTED_VALUE"""),"Ironheart")</f>
        <v>Ironheart</v>
      </c>
      <c r="B73" s="45" t="s">
        <v>190</v>
      </c>
      <c r="C73" s="38" t="s">
        <v>151</v>
      </c>
      <c r="D73" s="38" t="s">
        <v>151</v>
      </c>
      <c r="E73" s="38" t="s">
        <v>151</v>
      </c>
      <c r="F73" s="38" t="s">
        <v>151</v>
      </c>
      <c r="G73" s="38" t="s">
        <v>151</v>
      </c>
      <c r="H73" s="45" t="s">
        <v>190</v>
      </c>
      <c r="I73" s="38" t="s">
        <v>151</v>
      </c>
      <c r="J73" s="38" t="s">
        <v>151</v>
      </c>
      <c r="K73" s="38" t="s">
        <v>151</v>
      </c>
      <c r="L73" s="38" t="s">
        <v>151</v>
      </c>
      <c r="M73" s="38" t="s">
        <v>151</v>
      </c>
      <c r="N73" s="38" t="s">
        <v>151</v>
      </c>
      <c r="O73" s="38" t="s">
        <v>151</v>
      </c>
      <c r="P73" s="38" t="s">
        <v>151</v>
      </c>
      <c r="Q73" s="38" t="s">
        <v>151</v>
      </c>
      <c r="R73" s="45" t="s">
        <v>190</v>
      </c>
      <c r="S73" s="38" t="s">
        <v>151</v>
      </c>
      <c r="T73" s="45" t="s">
        <v>190</v>
      </c>
      <c r="U73" s="38" t="s">
        <v>151</v>
      </c>
      <c r="V73" s="38" t="s">
        <v>151</v>
      </c>
      <c r="W73" s="38" t="s">
        <v>151</v>
      </c>
      <c r="X73" s="38" t="s">
        <v>151</v>
      </c>
      <c r="Y73" s="38" t="s">
        <v>151</v>
      </c>
      <c r="Z73" s="38" t="s">
        <v>151</v>
      </c>
      <c r="AA73" s="38" t="s">
        <v>151</v>
      </c>
      <c r="AB73" s="38" t="s">
        <v>151</v>
      </c>
      <c r="AC73" s="38" t="s">
        <v>151</v>
      </c>
      <c r="AD73" s="38" t="s">
        <v>151</v>
      </c>
      <c r="AE73" s="38" t="s">
        <v>151</v>
      </c>
      <c r="AF73" s="38" t="s">
        <v>151</v>
      </c>
      <c r="AG73" s="38" t="s">
        <v>151</v>
      </c>
      <c r="AH73" s="38" t="s">
        <v>151</v>
      </c>
      <c r="AI73" s="45" t="s">
        <v>190</v>
      </c>
      <c r="AJ73" s="38" t="s">
        <v>151</v>
      </c>
      <c r="AK73" s="38" t="s">
        <v>151</v>
      </c>
      <c r="AL73" s="38" t="s">
        <v>151</v>
      </c>
      <c r="AM73" s="38" t="s">
        <v>151</v>
      </c>
      <c r="AN73" s="38" t="s">
        <v>151</v>
      </c>
      <c r="AO73" s="38" t="s">
        <v>151</v>
      </c>
      <c r="AP73" s="38" t="s">
        <v>151</v>
      </c>
      <c r="AQ73" s="38" t="s">
        <v>151</v>
      </c>
      <c r="AR73" s="38" t="s">
        <v>151</v>
      </c>
    </row>
    <row r="74">
      <c r="A74" s="1" t="str">
        <f>IFERROR(__xludf.DUMMYFUNCTION("""COMPUTED_VALUE"""),"Isophyne")</f>
        <v>Isophyne</v>
      </c>
      <c r="B74" s="38" t="s">
        <v>151</v>
      </c>
      <c r="C74" s="38" t="s">
        <v>151</v>
      </c>
      <c r="D74" s="38" t="s">
        <v>151</v>
      </c>
      <c r="E74" s="38" t="s">
        <v>151</v>
      </c>
      <c r="F74" s="45" t="s">
        <v>190</v>
      </c>
      <c r="G74" s="38" t="s">
        <v>151</v>
      </c>
      <c r="H74" s="45" t="s">
        <v>190</v>
      </c>
      <c r="I74" s="38" t="s">
        <v>151</v>
      </c>
      <c r="J74" s="38" t="s">
        <v>151</v>
      </c>
      <c r="K74" s="38" t="s">
        <v>151</v>
      </c>
      <c r="L74" s="38" t="s">
        <v>151</v>
      </c>
      <c r="M74" s="38" t="s">
        <v>151</v>
      </c>
      <c r="N74" s="38" t="s">
        <v>151</v>
      </c>
      <c r="O74" s="38" t="s">
        <v>151</v>
      </c>
      <c r="P74" s="38" t="s">
        <v>151</v>
      </c>
      <c r="Q74" s="38" t="s">
        <v>151</v>
      </c>
      <c r="R74" s="45" t="s">
        <v>190</v>
      </c>
      <c r="S74" s="38" t="s">
        <v>151</v>
      </c>
      <c r="T74" s="38" t="s">
        <v>151</v>
      </c>
      <c r="U74" s="38" t="s">
        <v>151</v>
      </c>
      <c r="V74" s="38" t="s">
        <v>151</v>
      </c>
      <c r="W74" s="38" t="s">
        <v>151</v>
      </c>
      <c r="X74" s="38" t="s">
        <v>151</v>
      </c>
      <c r="Y74" s="38" t="s">
        <v>151</v>
      </c>
      <c r="Z74" s="38" t="s">
        <v>151</v>
      </c>
      <c r="AA74" s="38" t="s">
        <v>151</v>
      </c>
      <c r="AB74" s="38" t="s">
        <v>151</v>
      </c>
      <c r="AC74" s="38" t="s">
        <v>151</v>
      </c>
      <c r="AD74" s="38" t="s">
        <v>151</v>
      </c>
      <c r="AE74" s="38" t="s">
        <v>151</v>
      </c>
      <c r="AF74" s="38" t="s">
        <v>151</v>
      </c>
      <c r="AG74" s="38" t="s">
        <v>151</v>
      </c>
      <c r="AH74" s="38" t="s">
        <v>151</v>
      </c>
      <c r="AI74" s="38" t="s">
        <v>151</v>
      </c>
      <c r="AJ74" s="38" t="s">
        <v>151</v>
      </c>
      <c r="AK74" s="38" t="s">
        <v>151</v>
      </c>
      <c r="AL74" s="38" t="s">
        <v>151</v>
      </c>
      <c r="AM74" s="38" t="s">
        <v>151</v>
      </c>
      <c r="AN74" s="38" t="s">
        <v>151</v>
      </c>
      <c r="AO74" s="38" t="s">
        <v>151</v>
      </c>
      <c r="AP74" s="38" t="s">
        <v>151</v>
      </c>
      <c r="AQ74" s="38" t="s">
        <v>151</v>
      </c>
      <c r="AR74" s="38" t="s">
        <v>151</v>
      </c>
    </row>
    <row r="75">
      <c r="A75" s="1" t="str">
        <f>IFERROR(__xludf.DUMMYFUNCTION("""COMPUTED_VALUE"""),"Jack O’Lantern")</f>
        <v>Jack O’Lantern</v>
      </c>
      <c r="B75" s="38" t="s">
        <v>151</v>
      </c>
      <c r="C75" s="38" t="s">
        <v>151</v>
      </c>
      <c r="D75" s="38" t="s">
        <v>151</v>
      </c>
      <c r="E75" s="38" t="s">
        <v>151</v>
      </c>
      <c r="F75" s="38" t="s">
        <v>151</v>
      </c>
      <c r="G75" s="38" t="s">
        <v>151</v>
      </c>
      <c r="H75" s="38" t="s">
        <v>151</v>
      </c>
      <c r="I75" s="38" t="s">
        <v>151</v>
      </c>
      <c r="J75" s="38" t="s">
        <v>151</v>
      </c>
      <c r="K75" s="38" t="s">
        <v>151</v>
      </c>
      <c r="L75" s="38" t="s">
        <v>151</v>
      </c>
      <c r="M75" s="38" t="s">
        <v>151</v>
      </c>
      <c r="N75" s="38" t="s">
        <v>151</v>
      </c>
      <c r="O75" s="38" t="s">
        <v>151</v>
      </c>
      <c r="P75" s="38" t="s">
        <v>151</v>
      </c>
      <c r="Q75" s="38" t="s">
        <v>151</v>
      </c>
      <c r="R75" s="38" t="s">
        <v>151</v>
      </c>
      <c r="S75" s="38" t="s">
        <v>151</v>
      </c>
      <c r="T75" s="45" t="s">
        <v>190</v>
      </c>
      <c r="U75" s="38" t="s">
        <v>151</v>
      </c>
      <c r="V75" s="38" t="s">
        <v>151</v>
      </c>
      <c r="W75" s="38" t="s">
        <v>151</v>
      </c>
      <c r="X75" s="38" t="s">
        <v>151</v>
      </c>
      <c r="Y75" s="38" t="s">
        <v>151</v>
      </c>
      <c r="Z75" s="38" t="s">
        <v>151</v>
      </c>
      <c r="AA75" s="38" t="s">
        <v>151</v>
      </c>
      <c r="AB75" s="38" t="s">
        <v>151</v>
      </c>
      <c r="AC75" s="38" t="s">
        <v>151</v>
      </c>
      <c r="AD75" s="38" t="s">
        <v>151</v>
      </c>
      <c r="AE75" s="38" t="s">
        <v>151</v>
      </c>
      <c r="AF75" s="38" t="s">
        <v>151</v>
      </c>
      <c r="AG75" s="38" t="s">
        <v>151</v>
      </c>
      <c r="AH75" s="38" t="s">
        <v>151</v>
      </c>
      <c r="AI75" s="45" t="s">
        <v>190</v>
      </c>
      <c r="AJ75" s="38" t="s">
        <v>151</v>
      </c>
      <c r="AK75" s="38" t="s">
        <v>151</v>
      </c>
      <c r="AL75" s="38" t="s">
        <v>151</v>
      </c>
      <c r="AM75" s="38" t="s">
        <v>151</v>
      </c>
      <c r="AN75" s="38" t="s">
        <v>151</v>
      </c>
      <c r="AO75" s="38" t="s">
        <v>151</v>
      </c>
      <c r="AP75" s="38" t="s">
        <v>151</v>
      </c>
      <c r="AQ75" s="38" t="s">
        <v>151</v>
      </c>
      <c r="AR75" s="38" t="s">
        <v>151</v>
      </c>
    </row>
    <row r="76">
      <c r="A76" s="1" t="str">
        <f>IFERROR(__xludf.DUMMYFUNCTION("""COMPUTED_VALUE"""),"Jean Grey")</f>
        <v>Jean Grey</v>
      </c>
      <c r="B76" s="38" t="s">
        <v>151</v>
      </c>
      <c r="C76" s="38" t="s">
        <v>151</v>
      </c>
      <c r="D76" s="38" t="s">
        <v>151</v>
      </c>
      <c r="E76" s="38" t="s">
        <v>151</v>
      </c>
      <c r="F76" s="38" t="s">
        <v>151</v>
      </c>
      <c r="G76" s="38" t="s">
        <v>151</v>
      </c>
      <c r="H76" s="38" t="s">
        <v>151</v>
      </c>
      <c r="I76" s="38" t="s">
        <v>151</v>
      </c>
      <c r="J76" s="38" t="s">
        <v>151</v>
      </c>
      <c r="K76" s="38" t="s">
        <v>151</v>
      </c>
      <c r="L76" s="38" t="s">
        <v>151</v>
      </c>
      <c r="M76" s="38" t="s">
        <v>151</v>
      </c>
      <c r="N76" s="38" t="s">
        <v>151</v>
      </c>
      <c r="O76" s="38" t="s">
        <v>151</v>
      </c>
      <c r="P76" s="38" t="s">
        <v>151</v>
      </c>
      <c r="Q76" s="38" t="s">
        <v>151</v>
      </c>
      <c r="R76" s="38" t="s">
        <v>151</v>
      </c>
      <c r="S76" s="38" t="s">
        <v>151</v>
      </c>
      <c r="T76" s="38" t="s">
        <v>151</v>
      </c>
      <c r="U76" s="38" t="s">
        <v>151</v>
      </c>
      <c r="V76" s="38" t="s">
        <v>151</v>
      </c>
      <c r="W76" s="38" t="s">
        <v>151</v>
      </c>
      <c r="X76" s="38" t="s">
        <v>151</v>
      </c>
      <c r="Y76" s="38" t="s">
        <v>151</v>
      </c>
      <c r="Z76" s="38" t="s">
        <v>151</v>
      </c>
      <c r="AA76" s="38" t="s">
        <v>151</v>
      </c>
      <c r="AB76" s="38" t="s">
        <v>151</v>
      </c>
      <c r="AC76" s="38" t="s">
        <v>151</v>
      </c>
      <c r="AD76" s="38" t="s">
        <v>151</v>
      </c>
      <c r="AE76" s="38" t="s">
        <v>151</v>
      </c>
      <c r="AF76" s="38" t="s">
        <v>151</v>
      </c>
      <c r="AG76" s="38" t="s">
        <v>151</v>
      </c>
      <c r="AH76" s="38" t="s">
        <v>151</v>
      </c>
      <c r="AI76" s="45" t="s">
        <v>190</v>
      </c>
      <c r="AJ76" s="38" t="s">
        <v>151</v>
      </c>
      <c r="AK76" s="38" t="s">
        <v>151</v>
      </c>
      <c r="AL76" s="38" t="s">
        <v>151</v>
      </c>
      <c r="AM76" s="38" t="s">
        <v>151</v>
      </c>
      <c r="AN76" s="38" t="s">
        <v>151</v>
      </c>
      <c r="AO76" s="38" t="s">
        <v>151</v>
      </c>
      <c r="AP76" s="38" t="s">
        <v>151</v>
      </c>
      <c r="AQ76" s="38" t="s">
        <v>151</v>
      </c>
      <c r="AR76" s="38" t="s">
        <v>151</v>
      </c>
    </row>
    <row r="77">
      <c r="A77" s="1" t="str">
        <f>IFERROR(__xludf.DUMMYFUNCTION("""COMPUTED_VALUE"""),"Joe Fixit")</f>
        <v>Joe Fixit</v>
      </c>
      <c r="B77" s="38" t="s">
        <v>151</v>
      </c>
      <c r="C77" s="38" t="s">
        <v>151</v>
      </c>
      <c r="D77" s="38" t="s">
        <v>151</v>
      </c>
      <c r="E77" s="38" t="s">
        <v>151</v>
      </c>
      <c r="F77" s="38" t="s">
        <v>151</v>
      </c>
      <c r="G77" s="38" t="s">
        <v>151</v>
      </c>
      <c r="H77" s="38" t="s">
        <v>151</v>
      </c>
      <c r="I77" s="38" t="s">
        <v>151</v>
      </c>
      <c r="J77" s="38" t="s">
        <v>151</v>
      </c>
      <c r="K77" s="38" t="s">
        <v>151</v>
      </c>
      <c r="L77" s="38" t="s">
        <v>151</v>
      </c>
      <c r="M77" s="38" t="s">
        <v>151</v>
      </c>
      <c r="N77" s="38" t="s">
        <v>151</v>
      </c>
      <c r="O77" s="38" t="s">
        <v>151</v>
      </c>
      <c r="P77" s="38" t="s">
        <v>151</v>
      </c>
      <c r="Q77" s="38" t="s">
        <v>151</v>
      </c>
      <c r="R77" s="38" t="s">
        <v>151</v>
      </c>
      <c r="S77" s="38" t="s">
        <v>151</v>
      </c>
      <c r="T77" s="38" t="s">
        <v>151</v>
      </c>
      <c r="U77" s="38" t="s">
        <v>151</v>
      </c>
      <c r="V77" s="38" t="s">
        <v>151</v>
      </c>
      <c r="W77" s="38" t="s">
        <v>151</v>
      </c>
      <c r="X77" s="38" t="s">
        <v>151</v>
      </c>
      <c r="Y77" s="38" t="s">
        <v>151</v>
      </c>
      <c r="Z77" s="38" t="s">
        <v>151</v>
      </c>
      <c r="AA77" s="38" t="s">
        <v>151</v>
      </c>
      <c r="AB77" s="45" t="s">
        <v>190</v>
      </c>
      <c r="AC77" s="38" t="s">
        <v>151</v>
      </c>
      <c r="AD77" s="38" t="s">
        <v>151</v>
      </c>
      <c r="AE77" s="38" t="s">
        <v>151</v>
      </c>
      <c r="AF77" s="38" t="s">
        <v>151</v>
      </c>
      <c r="AG77" s="38" t="s">
        <v>151</v>
      </c>
      <c r="AH77" s="38" t="s">
        <v>151</v>
      </c>
      <c r="AI77" s="45" t="s">
        <v>190</v>
      </c>
      <c r="AJ77" s="38" t="s">
        <v>151</v>
      </c>
      <c r="AK77" s="38" t="s">
        <v>151</v>
      </c>
      <c r="AL77" s="38" t="s">
        <v>151</v>
      </c>
      <c r="AM77" s="38" t="s">
        <v>151</v>
      </c>
      <c r="AN77" s="38" t="s">
        <v>151</v>
      </c>
      <c r="AO77" s="38" t="s">
        <v>151</v>
      </c>
      <c r="AP77" s="38" t="s">
        <v>151</v>
      </c>
      <c r="AQ77" s="38" t="s">
        <v>151</v>
      </c>
      <c r="AR77" s="38" t="s">
        <v>151</v>
      </c>
    </row>
    <row r="78">
      <c r="A78" s="1" t="str">
        <f>IFERROR(__xludf.DUMMYFUNCTION("""COMPUTED_VALUE"""),"Juggernaut")</f>
        <v>Juggernaut</v>
      </c>
      <c r="B78" s="38" t="s">
        <v>151</v>
      </c>
      <c r="C78" s="38" t="s">
        <v>151</v>
      </c>
      <c r="D78" s="38" t="s">
        <v>151</v>
      </c>
      <c r="E78" s="38" t="s">
        <v>151</v>
      </c>
      <c r="F78" s="38" t="s">
        <v>151</v>
      </c>
      <c r="G78" s="38" t="s">
        <v>151</v>
      </c>
      <c r="H78" s="38" t="s">
        <v>151</v>
      </c>
      <c r="I78" s="38" t="s">
        <v>151</v>
      </c>
      <c r="J78" s="38" t="s">
        <v>151</v>
      </c>
      <c r="K78" s="38" t="s">
        <v>151</v>
      </c>
      <c r="L78" s="38" t="s">
        <v>151</v>
      </c>
      <c r="M78" s="38" t="s">
        <v>151</v>
      </c>
      <c r="N78" s="38" t="s">
        <v>151</v>
      </c>
      <c r="O78" s="38" t="s">
        <v>151</v>
      </c>
      <c r="P78" s="38" t="s">
        <v>151</v>
      </c>
      <c r="Q78" s="38" t="s">
        <v>151</v>
      </c>
      <c r="R78" s="38" t="s">
        <v>151</v>
      </c>
      <c r="S78" s="38" t="s">
        <v>151</v>
      </c>
      <c r="T78" s="38" t="s">
        <v>151</v>
      </c>
      <c r="U78" s="38" t="s">
        <v>151</v>
      </c>
      <c r="V78" s="38" t="s">
        <v>151</v>
      </c>
      <c r="W78" s="38" t="s">
        <v>151</v>
      </c>
      <c r="X78" s="38" t="s">
        <v>151</v>
      </c>
      <c r="Y78" s="38" t="s">
        <v>151</v>
      </c>
      <c r="Z78" s="38" t="s">
        <v>151</v>
      </c>
      <c r="AA78" s="38" t="s">
        <v>151</v>
      </c>
      <c r="AB78" s="38" t="s">
        <v>151</v>
      </c>
      <c r="AC78" s="38" t="s">
        <v>151</v>
      </c>
      <c r="AD78" s="38" t="s">
        <v>151</v>
      </c>
      <c r="AE78" s="38" t="s">
        <v>151</v>
      </c>
      <c r="AF78" s="38" t="s">
        <v>151</v>
      </c>
      <c r="AG78" s="38" t="s">
        <v>151</v>
      </c>
      <c r="AH78" s="38" t="s">
        <v>151</v>
      </c>
      <c r="AI78" s="45" t="s">
        <v>190</v>
      </c>
      <c r="AJ78" s="38" t="s">
        <v>151</v>
      </c>
      <c r="AK78" s="38" t="s">
        <v>151</v>
      </c>
      <c r="AL78" s="38" t="s">
        <v>151</v>
      </c>
      <c r="AM78" s="38" t="s">
        <v>151</v>
      </c>
      <c r="AN78" s="38" t="s">
        <v>151</v>
      </c>
      <c r="AO78" s="38" t="s">
        <v>151</v>
      </c>
      <c r="AP78" s="38" t="s">
        <v>151</v>
      </c>
      <c r="AQ78" s="38" t="s">
        <v>151</v>
      </c>
      <c r="AR78" s="38" t="s">
        <v>151</v>
      </c>
    </row>
    <row r="79">
      <c r="A79" s="1" t="str">
        <f>IFERROR(__xludf.DUMMYFUNCTION("""COMPUTED_VALUE"""),"Karolina Dean")</f>
        <v>Karolina Dean</v>
      </c>
      <c r="B79" s="38" t="s">
        <v>151</v>
      </c>
      <c r="C79" s="38" t="s">
        <v>151</v>
      </c>
      <c r="D79" s="38" t="s">
        <v>151</v>
      </c>
      <c r="E79" s="38" t="s">
        <v>151</v>
      </c>
      <c r="F79" s="38" t="s">
        <v>151</v>
      </c>
      <c r="G79" s="38" t="s">
        <v>151</v>
      </c>
      <c r="H79" s="45" t="s">
        <v>190</v>
      </c>
      <c r="I79" s="38" t="s">
        <v>151</v>
      </c>
      <c r="J79" s="38" t="s">
        <v>151</v>
      </c>
      <c r="K79" s="38" t="s">
        <v>151</v>
      </c>
      <c r="L79" s="38" t="s">
        <v>151</v>
      </c>
      <c r="M79" s="38" t="s">
        <v>151</v>
      </c>
      <c r="N79" s="38" t="s">
        <v>151</v>
      </c>
      <c r="O79" s="38" t="s">
        <v>151</v>
      </c>
      <c r="P79" s="38" t="s">
        <v>151</v>
      </c>
      <c r="Q79" s="38" t="s">
        <v>151</v>
      </c>
      <c r="R79" s="45" t="s">
        <v>190</v>
      </c>
      <c r="S79" s="38" t="s">
        <v>151</v>
      </c>
      <c r="T79" s="38" t="s">
        <v>151</v>
      </c>
      <c r="U79" s="38" t="s">
        <v>151</v>
      </c>
      <c r="V79" s="38" t="s">
        <v>151</v>
      </c>
      <c r="W79" s="38" t="s">
        <v>151</v>
      </c>
      <c r="X79" s="38" t="s">
        <v>151</v>
      </c>
      <c r="Y79" s="38" t="s">
        <v>151</v>
      </c>
      <c r="Z79" s="38" t="s">
        <v>151</v>
      </c>
      <c r="AA79" s="38" t="s">
        <v>151</v>
      </c>
      <c r="AB79" s="38" t="s">
        <v>151</v>
      </c>
      <c r="AC79" s="38" t="s">
        <v>151</v>
      </c>
      <c r="AD79" s="38" t="s">
        <v>151</v>
      </c>
      <c r="AE79" s="45" t="s">
        <v>190</v>
      </c>
      <c r="AF79" s="38" t="s">
        <v>151</v>
      </c>
      <c r="AG79" s="38" t="s">
        <v>151</v>
      </c>
      <c r="AH79" s="38" t="s">
        <v>151</v>
      </c>
      <c r="AI79" s="38" t="s">
        <v>151</v>
      </c>
      <c r="AJ79" s="38" t="s">
        <v>151</v>
      </c>
      <c r="AK79" s="38" t="s">
        <v>151</v>
      </c>
      <c r="AL79" s="38" t="s">
        <v>151</v>
      </c>
      <c r="AM79" s="45" t="s">
        <v>190</v>
      </c>
      <c r="AN79" s="38" t="s">
        <v>151</v>
      </c>
      <c r="AO79" s="38" t="s">
        <v>151</v>
      </c>
      <c r="AP79" s="38" t="s">
        <v>151</v>
      </c>
      <c r="AQ79" s="38" t="s">
        <v>151</v>
      </c>
      <c r="AR79" s="38" t="s">
        <v>151</v>
      </c>
    </row>
    <row r="80">
      <c r="A80" s="1" t="str">
        <f>IFERROR(__xludf.DUMMYFUNCTION("""COMPUTED_VALUE"""),"Kindred")</f>
        <v>Kindred</v>
      </c>
      <c r="B80" s="38" t="s">
        <v>151</v>
      </c>
      <c r="C80" s="38" t="s">
        <v>151</v>
      </c>
      <c r="D80" s="38" t="s">
        <v>151</v>
      </c>
      <c r="E80" s="38" t="s">
        <v>151</v>
      </c>
      <c r="F80" s="38" t="s">
        <v>151</v>
      </c>
      <c r="G80" s="38" t="s">
        <v>151</v>
      </c>
      <c r="H80" s="38" t="s">
        <v>151</v>
      </c>
      <c r="I80" s="38" t="s">
        <v>151</v>
      </c>
      <c r="J80" s="38" t="s">
        <v>151</v>
      </c>
      <c r="K80" s="38" t="s">
        <v>151</v>
      </c>
      <c r="L80" s="38" t="s">
        <v>151</v>
      </c>
      <c r="M80" s="38" t="s">
        <v>151</v>
      </c>
      <c r="N80" s="38" t="s">
        <v>151</v>
      </c>
      <c r="O80" s="38" t="s">
        <v>151</v>
      </c>
      <c r="P80" s="38" t="s">
        <v>151</v>
      </c>
      <c r="Q80" s="38" t="s">
        <v>151</v>
      </c>
      <c r="R80" s="38" t="s">
        <v>151</v>
      </c>
      <c r="S80" s="45" t="s">
        <v>190</v>
      </c>
      <c r="T80" s="45" t="s">
        <v>190</v>
      </c>
      <c r="U80" s="45" t="s">
        <v>190</v>
      </c>
      <c r="V80" s="45" t="s">
        <v>190</v>
      </c>
      <c r="W80" s="38" t="s">
        <v>151</v>
      </c>
      <c r="X80" s="38" t="s">
        <v>151</v>
      </c>
      <c r="Y80" s="38" t="s">
        <v>151</v>
      </c>
      <c r="Z80" s="38" t="s">
        <v>151</v>
      </c>
      <c r="AA80" s="38" t="s">
        <v>151</v>
      </c>
      <c r="AB80" s="45" t="s">
        <v>190</v>
      </c>
      <c r="AC80" s="38" t="s">
        <v>151</v>
      </c>
      <c r="AD80" s="38" t="s">
        <v>151</v>
      </c>
      <c r="AE80" s="38" t="s">
        <v>151</v>
      </c>
      <c r="AF80" s="38" t="s">
        <v>151</v>
      </c>
      <c r="AG80" s="38" t="s">
        <v>151</v>
      </c>
      <c r="AH80" s="38" t="s">
        <v>151</v>
      </c>
      <c r="AI80" s="38" t="s">
        <v>151</v>
      </c>
      <c r="AJ80" s="38" t="s">
        <v>151</v>
      </c>
      <c r="AK80" s="38" t="s">
        <v>151</v>
      </c>
      <c r="AL80" s="38" t="s">
        <v>151</v>
      </c>
      <c r="AM80" s="38" t="s">
        <v>151</v>
      </c>
      <c r="AN80" s="38" t="s">
        <v>151</v>
      </c>
      <c r="AO80" s="38" t="s">
        <v>151</v>
      </c>
      <c r="AP80" s="45" t="s">
        <v>190</v>
      </c>
      <c r="AQ80" s="38" t="s">
        <v>151</v>
      </c>
      <c r="AR80" s="38" t="s">
        <v>151</v>
      </c>
    </row>
    <row r="81">
      <c r="A81" s="1" t="str">
        <f>IFERROR(__xludf.DUMMYFUNCTION("""COMPUTED_VALUE"""),"King Groot")</f>
        <v>King Groot</v>
      </c>
      <c r="B81" s="38" t="s">
        <v>151</v>
      </c>
      <c r="C81" s="38" t="s">
        <v>151</v>
      </c>
      <c r="D81" s="38" t="s">
        <v>151</v>
      </c>
      <c r="E81" s="38" t="s">
        <v>151</v>
      </c>
      <c r="F81" s="45" t="s">
        <v>190</v>
      </c>
      <c r="G81" s="38" t="s">
        <v>151</v>
      </c>
      <c r="H81" s="38" t="s">
        <v>151</v>
      </c>
      <c r="I81" s="38" t="s">
        <v>151</v>
      </c>
      <c r="J81" s="38" t="s">
        <v>151</v>
      </c>
      <c r="K81" s="38" t="s">
        <v>151</v>
      </c>
      <c r="L81" s="38" t="s">
        <v>151</v>
      </c>
      <c r="M81" s="38" t="s">
        <v>151</v>
      </c>
      <c r="N81" s="38" t="s">
        <v>151</v>
      </c>
      <c r="O81" s="38" t="s">
        <v>151</v>
      </c>
      <c r="P81" s="38" t="s">
        <v>151</v>
      </c>
      <c r="Q81" s="38" t="s">
        <v>151</v>
      </c>
      <c r="R81" s="38" t="s">
        <v>151</v>
      </c>
      <c r="S81" s="38" t="s">
        <v>151</v>
      </c>
      <c r="T81" s="38" t="s">
        <v>151</v>
      </c>
      <c r="U81" s="38" t="s">
        <v>151</v>
      </c>
      <c r="V81" s="38" t="s">
        <v>151</v>
      </c>
      <c r="W81" s="38" t="s">
        <v>151</v>
      </c>
      <c r="X81" s="38" t="s">
        <v>151</v>
      </c>
      <c r="Y81" s="38" t="s">
        <v>151</v>
      </c>
      <c r="Z81" s="38" t="s">
        <v>151</v>
      </c>
      <c r="AA81" s="38" t="s">
        <v>151</v>
      </c>
      <c r="AB81" s="38" t="s">
        <v>151</v>
      </c>
      <c r="AC81" s="45" t="s">
        <v>190</v>
      </c>
      <c r="AD81" s="45" t="s">
        <v>190</v>
      </c>
      <c r="AE81" s="38" t="s">
        <v>151</v>
      </c>
      <c r="AF81" s="38" t="s">
        <v>151</v>
      </c>
      <c r="AG81" s="38" t="s">
        <v>151</v>
      </c>
      <c r="AH81" s="38" t="s">
        <v>151</v>
      </c>
      <c r="AI81" s="38" t="s">
        <v>151</v>
      </c>
      <c r="AJ81" s="38" t="s">
        <v>151</v>
      </c>
      <c r="AK81" s="38" t="s">
        <v>151</v>
      </c>
      <c r="AL81" s="38" t="s">
        <v>151</v>
      </c>
      <c r="AM81" s="38" t="s">
        <v>151</v>
      </c>
      <c r="AN81" s="38" t="s">
        <v>151</v>
      </c>
      <c r="AO81" s="38" t="s">
        <v>151</v>
      </c>
      <c r="AP81" s="38" t="s">
        <v>151</v>
      </c>
      <c r="AQ81" s="38" t="s">
        <v>151</v>
      </c>
      <c r="AR81" s="38" t="s">
        <v>151</v>
      </c>
    </row>
    <row r="82">
      <c r="A82" s="1" t="str">
        <f>IFERROR(__xludf.DUMMYFUNCTION("""COMPUTED_VALUE"""),"King Groot (Deathless)")</f>
        <v>King Groot (Deathless)</v>
      </c>
      <c r="B82" s="38" t="s">
        <v>151</v>
      </c>
      <c r="C82" s="38" t="s">
        <v>151</v>
      </c>
      <c r="D82" s="38" t="s">
        <v>151</v>
      </c>
      <c r="E82" s="38" t="s">
        <v>151</v>
      </c>
      <c r="F82" s="45" t="s">
        <v>190</v>
      </c>
      <c r="G82" s="38" t="s">
        <v>151</v>
      </c>
      <c r="H82" s="38" t="s">
        <v>151</v>
      </c>
      <c r="I82" s="38" t="s">
        <v>151</v>
      </c>
      <c r="J82" s="38" t="s">
        <v>151</v>
      </c>
      <c r="K82" s="38" t="s">
        <v>151</v>
      </c>
      <c r="L82" s="38" t="s">
        <v>151</v>
      </c>
      <c r="M82" s="38" t="s">
        <v>151</v>
      </c>
      <c r="N82" s="38" t="s">
        <v>151</v>
      </c>
      <c r="O82" s="38" t="s">
        <v>151</v>
      </c>
      <c r="P82" s="38" t="s">
        <v>151</v>
      </c>
      <c r="Q82" s="38" t="s">
        <v>151</v>
      </c>
      <c r="R82" s="38" t="s">
        <v>151</v>
      </c>
      <c r="S82" s="38" t="s">
        <v>151</v>
      </c>
      <c r="T82" s="38" t="s">
        <v>151</v>
      </c>
      <c r="U82" s="38" t="s">
        <v>151</v>
      </c>
      <c r="V82" s="38" t="s">
        <v>151</v>
      </c>
      <c r="W82" s="38" t="s">
        <v>151</v>
      </c>
      <c r="X82" s="38" t="s">
        <v>151</v>
      </c>
      <c r="Y82" s="38" t="s">
        <v>151</v>
      </c>
      <c r="Z82" s="38" t="s">
        <v>151</v>
      </c>
      <c r="AA82" s="38" t="s">
        <v>151</v>
      </c>
      <c r="AB82" s="38" t="s">
        <v>151</v>
      </c>
      <c r="AC82" s="45" t="s">
        <v>190</v>
      </c>
      <c r="AD82" s="45" t="s">
        <v>190</v>
      </c>
      <c r="AE82" s="38" t="s">
        <v>151</v>
      </c>
      <c r="AF82" s="38" t="s">
        <v>151</v>
      </c>
      <c r="AG82" s="38" t="s">
        <v>151</v>
      </c>
      <c r="AH82" s="38" t="s">
        <v>151</v>
      </c>
      <c r="AI82" s="38" t="s">
        <v>151</v>
      </c>
      <c r="AJ82" s="38" t="s">
        <v>151</v>
      </c>
      <c r="AK82" s="38" t="s">
        <v>151</v>
      </c>
      <c r="AL82" s="38" t="s">
        <v>151</v>
      </c>
      <c r="AM82" s="38" t="s">
        <v>151</v>
      </c>
      <c r="AN82" s="38" t="s">
        <v>151</v>
      </c>
      <c r="AO82" s="38" t="s">
        <v>151</v>
      </c>
      <c r="AP82" s="38" t="s">
        <v>151</v>
      </c>
      <c r="AQ82" s="38" t="s">
        <v>151</v>
      </c>
      <c r="AR82" s="38" t="s">
        <v>151</v>
      </c>
    </row>
    <row r="83">
      <c r="A83" s="1" t="str">
        <f>IFERROR(__xludf.DUMMYFUNCTION("""COMPUTED_VALUE"""),"Kingpin")</f>
        <v>Kingpin</v>
      </c>
      <c r="B83" s="38" t="s">
        <v>151</v>
      </c>
      <c r="C83" s="38" t="s">
        <v>151</v>
      </c>
      <c r="D83" s="38" t="s">
        <v>151</v>
      </c>
      <c r="E83" s="38" t="s">
        <v>151</v>
      </c>
      <c r="F83" s="38" t="s">
        <v>151</v>
      </c>
      <c r="G83" s="38" t="s">
        <v>151</v>
      </c>
      <c r="H83" s="38" t="s">
        <v>151</v>
      </c>
      <c r="I83" s="38" t="s">
        <v>151</v>
      </c>
      <c r="J83" s="38" t="s">
        <v>151</v>
      </c>
      <c r="K83" s="38" t="s">
        <v>151</v>
      </c>
      <c r="L83" s="38" t="s">
        <v>151</v>
      </c>
      <c r="M83" s="38" t="s">
        <v>151</v>
      </c>
      <c r="N83" s="38" t="s">
        <v>151</v>
      </c>
      <c r="O83" s="38" t="s">
        <v>151</v>
      </c>
      <c r="P83" s="38" t="s">
        <v>151</v>
      </c>
      <c r="Q83" s="38" t="s">
        <v>151</v>
      </c>
      <c r="R83" s="38" t="s">
        <v>151</v>
      </c>
      <c r="S83" s="38" t="s">
        <v>151</v>
      </c>
      <c r="T83" s="38" t="s">
        <v>151</v>
      </c>
      <c r="U83" s="38" t="s">
        <v>151</v>
      </c>
      <c r="V83" s="38" t="s">
        <v>151</v>
      </c>
      <c r="W83" s="38" t="s">
        <v>151</v>
      </c>
      <c r="X83" s="38" t="s">
        <v>151</v>
      </c>
      <c r="Y83" s="38" t="s">
        <v>151</v>
      </c>
      <c r="Z83" s="38" t="s">
        <v>151</v>
      </c>
      <c r="AA83" s="45" t="s">
        <v>190</v>
      </c>
      <c r="AB83" s="38" t="s">
        <v>151</v>
      </c>
      <c r="AC83" s="38" t="s">
        <v>151</v>
      </c>
      <c r="AD83" s="38" t="s">
        <v>151</v>
      </c>
      <c r="AE83" s="38" t="s">
        <v>151</v>
      </c>
      <c r="AF83" s="38" t="s">
        <v>151</v>
      </c>
      <c r="AG83" s="38" t="s">
        <v>151</v>
      </c>
      <c r="AH83" s="38" t="s">
        <v>151</v>
      </c>
      <c r="AI83" s="38" t="s">
        <v>151</v>
      </c>
      <c r="AJ83" s="38" t="s">
        <v>151</v>
      </c>
      <c r="AK83" s="45" t="s">
        <v>190</v>
      </c>
      <c r="AL83" s="38" t="s">
        <v>151</v>
      </c>
      <c r="AM83" s="38" t="s">
        <v>151</v>
      </c>
      <c r="AN83" s="38" t="s">
        <v>151</v>
      </c>
      <c r="AO83" s="38" t="s">
        <v>151</v>
      </c>
      <c r="AP83" s="38" t="s">
        <v>151</v>
      </c>
      <c r="AQ83" s="38" t="s">
        <v>151</v>
      </c>
      <c r="AR83" s="38" t="s">
        <v>151</v>
      </c>
    </row>
    <row r="84">
      <c r="A84" s="1" t="str">
        <f>IFERROR(__xludf.DUMMYFUNCTION("""COMPUTED_VALUE"""),"Kitty Pryde")</f>
        <v>Kitty Pryde</v>
      </c>
      <c r="B84" s="38" t="s">
        <v>151</v>
      </c>
      <c r="C84" s="38" t="s">
        <v>151</v>
      </c>
      <c r="D84" s="38" t="s">
        <v>151</v>
      </c>
      <c r="E84" s="38" t="s">
        <v>151</v>
      </c>
      <c r="F84" s="38" t="s">
        <v>151</v>
      </c>
      <c r="G84" s="38" t="s">
        <v>151</v>
      </c>
      <c r="H84" s="38" t="s">
        <v>151</v>
      </c>
      <c r="I84" s="38" t="s">
        <v>151</v>
      </c>
      <c r="J84" s="38" t="s">
        <v>151</v>
      </c>
      <c r="K84" s="38" t="s">
        <v>151</v>
      </c>
      <c r="L84" s="38" t="s">
        <v>151</v>
      </c>
      <c r="M84" s="38" t="s">
        <v>151</v>
      </c>
      <c r="N84" s="38" t="s">
        <v>151</v>
      </c>
      <c r="O84" s="38" t="s">
        <v>151</v>
      </c>
      <c r="P84" s="38" t="s">
        <v>151</v>
      </c>
      <c r="Q84" s="38" t="s">
        <v>151</v>
      </c>
      <c r="R84" s="38" t="s">
        <v>151</v>
      </c>
      <c r="S84" s="38" t="s">
        <v>151</v>
      </c>
      <c r="T84" s="45" t="s">
        <v>190</v>
      </c>
      <c r="U84" s="38" t="s">
        <v>151</v>
      </c>
      <c r="V84" s="38" t="s">
        <v>151</v>
      </c>
      <c r="W84" s="38" t="s">
        <v>151</v>
      </c>
      <c r="X84" s="38" t="s">
        <v>151</v>
      </c>
      <c r="Y84" s="38" t="s">
        <v>151</v>
      </c>
      <c r="Z84" s="38" t="s">
        <v>151</v>
      </c>
      <c r="AA84" s="38" t="s">
        <v>151</v>
      </c>
      <c r="AB84" s="38" t="s">
        <v>151</v>
      </c>
      <c r="AC84" s="38" t="s">
        <v>151</v>
      </c>
      <c r="AD84" s="38" t="s">
        <v>151</v>
      </c>
      <c r="AE84" s="38" t="s">
        <v>151</v>
      </c>
      <c r="AF84" s="38" t="s">
        <v>151</v>
      </c>
      <c r="AG84" s="38" t="s">
        <v>151</v>
      </c>
      <c r="AH84" s="38" t="s">
        <v>151</v>
      </c>
      <c r="AI84" s="45" t="s">
        <v>190</v>
      </c>
      <c r="AJ84" s="38" t="s">
        <v>151</v>
      </c>
      <c r="AK84" s="38" t="s">
        <v>151</v>
      </c>
      <c r="AL84" s="38" t="s">
        <v>151</v>
      </c>
      <c r="AM84" s="38" t="s">
        <v>151</v>
      </c>
      <c r="AN84" s="38" t="s">
        <v>151</v>
      </c>
      <c r="AO84" s="38" t="s">
        <v>151</v>
      </c>
      <c r="AP84" s="45" t="s">
        <v>190</v>
      </c>
      <c r="AQ84" s="38" t="s">
        <v>151</v>
      </c>
      <c r="AR84" s="38" t="s">
        <v>151</v>
      </c>
    </row>
    <row r="85">
      <c r="A85" s="1" t="str">
        <f>IFERROR(__xludf.DUMMYFUNCTION("""COMPUTED_VALUE"""),"Korg")</f>
        <v>Korg</v>
      </c>
      <c r="B85" s="38" t="s">
        <v>151</v>
      </c>
      <c r="C85" s="38" t="s">
        <v>151</v>
      </c>
      <c r="D85" s="38" t="s">
        <v>151</v>
      </c>
      <c r="E85" s="38" t="s">
        <v>151</v>
      </c>
      <c r="F85" s="45" t="s">
        <v>190</v>
      </c>
      <c r="G85" s="38" t="s">
        <v>151</v>
      </c>
      <c r="H85" s="38" t="s">
        <v>151</v>
      </c>
      <c r="I85" s="38" t="s">
        <v>151</v>
      </c>
      <c r="J85" s="38" t="s">
        <v>151</v>
      </c>
      <c r="K85" s="38" t="s">
        <v>151</v>
      </c>
      <c r="L85" s="38" t="s">
        <v>151</v>
      </c>
      <c r="M85" s="38" t="s">
        <v>151</v>
      </c>
      <c r="N85" s="38" t="s">
        <v>151</v>
      </c>
      <c r="O85" s="38" t="s">
        <v>151</v>
      </c>
      <c r="P85" s="38" t="s">
        <v>151</v>
      </c>
      <c r="Q85" s="38" t="s">
        <v>151</v>
      </c>
      <c r="R85" s="38" t="s">
        <v>151</v>
      </c>
      <c r="S85" s="38" t="s">
        <v>151</v>
      </c>
      <c r="T85" s="38" t="s">
        <v>151</v>
      </c>
      <c r="U85" s="38" t="s">
        <v>151</v>
      </c>
      <c r="V85" s="38" t="s">
        <v>151</v>
      </c>
      <c r="W85" s="38" t="s">
        <v>151</v>
      </c>
      <c r="X85" s="38" t="s">
        <v>151</v>
      </c>
      <c r="Y85" s="38" t="s">
        <v>151</v>
      </c>
      <c r="Z85" s="38" t="s">
        <v>151</v>
      </c>
      <c r="AA85" s="38" t="s">
        <v>151</v>
      </c>
      <c r="AB85" s="38" t="s">
        <v>151</v>
      </c>
      <c r="AC85" s="38" t="s">
        <v>151</v>
      </c>
      <c r="AD85" s="38" t="s">
        <v>151</v>
      </c>
      <c r="AE85" s="38" t="s">
        <v>151</v>
      </c>
      <c r="AF85" s="38" t="s">
        <v>151</v>
      </c>
      <c r="AG85" s="38" t="s">
        <v>151</v>
      </c>
      <c r="AH85" s="38" t="s">
        <v>151</v>
      </c>
      <c r="AI85" s="38" t="s">
        <v>151</v>
      </c>
      <c r="AJ85" s="38" t="s">
        <v>151</v>
      </c>
      <c r="AK85" s="45" t="s">
        <v>190</v>
      </c>
      <c r="AL85" s="38" t="s">
        <v>151</v>
      </c>
      <c r="AM85" s="38" t="s">
        <v>151</v>
      </c>
      <c r="AN85" s="38" t="s">
        <v>151</v>
      </c>
      <c r="AO85" s="38" t="s">
        <v>151</v>
      </c>
      <c r="AP85" s="38" t="s">
        <v>151</v>
      </c>
      <c r="AQ85" s="38" t="s">
        <v>151</v>
      </c>
      <c r="AR85" s="38" t="s">
        <v>151</v>
      </c>
    </row>
    <row r="86">
      <c r="A86" s="1" t="str">
        <f>IFERROR(__xludf.DUMMYFUNCTION("""COMPUTED_VALUE"""),"Kraven")</f>
        <v>Kraven</v>
      </c>
      <c r="B86" s="38" t="s">
        <v>151</v>
      </c>
      <c r="C86" s="38" t="s">
        <v>151</v>
      </c>
      <c r="D86" s="38" t="s">
        <v>151</v>
      </c>
      <c r="E86" s="38" t="s">
        <v>151</v>
      </c>
      <c r="F86" s="45" t="s">
        <v>190</v>
      </c>
      <c r="G86" s="38" t="s">
        <v>151</v>
      </c>
      <c r="H86" s="38" t="s">
        <v>151</v>
      </c>
      <c r="I86" s="38" t="s">
        <v>151</v>
      </c>
      <c r="J86" s="38" t="s">
        <v>151</v>
      </c>
      <c r="K86" s="38" t="s">
        <v>151</v>
      </c>
      <c r="L86" s="38" t="s">
        <v>151</v>
      </c>
      <c r="M86" s="38" t="s">
        <v>151</v>
      </c>
      <c r="N86" s="38" t="s">
        <v>151</v>
      </c>
      <c r="O86" s="38" t="s">
        <v>151</v>
      </c>
      <c r="P86" s="38" t="s">
        <v>151</v>
      </c>
      <c r="Q86" s="38" t="s">
        <v>151</v>
      </c>
      <c r="R86" s="38" t="s">
        <v>151</v>
      </c>
      <c r="S86" s="38" t="s">
        <v>151</v>
      </c>
      <c r="T86" s="38" t="s">
        <v>151</v>
      </c>
      <c r="U86" s="38" t="s">
        <v>151</v>
      </c>
      <c r="V86" s="38" t="s">
        <v>151</v>
      </c>
      <c r="W86" s="38" t="s">
        <v>151</v>
      </c>
      <c r="X86" s="38" t="s">
        <v>151</v>
      </c>
      <c r="Y86" s="38" t="s">
        <v>151</v>
      </c>
      <c r="Z86" s="38" t="s">
        <v>151</v>
      </c>
      <c r="AA86" s="38" t="s">
        <v>151</v>
      </c>
      <c r="AB86" s="38" t="s">
        <v>151</v>
      </c>
      <c r="AC86" s="38" t="s">
        <v>151</v>
      </c>
      <c r="AD86" s="38" t="s">
        <v>151</v>
      </c>
      <c r="AE86" s="38" t="s">
        <v>151</v>
      </c>
      <c r="AF86" s="38" t="s">
        <v>151</v>
      </c>
      <c r="AG86" s="38" t="s">
        <v>151</v>
      </c>
      <c r="AH86" s="38" t="s">
        <v>151</v>
      </c>
      <c r="AI86" s="38" t="s">
        <v>151</v>
      </c>
      <c r="AJ86" s="38" t="s">
        <v>151</v>
      </c>
      <c r="AK86" s="38" t="s">
        <v>151</v>
      </c>
      <c r="AL86" s="38" t="s">
        <v>151</v>
      </c>
      <c r="AM86" s="38" t="s">
        <v>151</v>
      </c>
      <c r="AN86" s="38" t="s">
        <v>151</v>
      </c>
      <c r="AO86" s="38" t="s">
        <v>151</v>
      </c>
      <c r="AP86" s="38" t="s">
        <v>151</v>
      </c>
      <c r="AQ86" s="38" t="s">
        <v>151</v>
      </c>
      <c r="AR86" s="38" t="s">
        <v>151</v>
      </c>
    </row>
    <row r="87">
      <c r="A87" s="1" t="str">
        <f>IFERROR(__xludf.DUMMYFUNCTION("""COMPUTED_VALUE"""),"Kushala")</f>
        <v>Kushala</v>
      </c>
      <c r="B87" s="38" t="s">
        <v>151</v>
      </c>
      <c r="C87" s="38" t="s">
        <v>151</v>
      </c>
      <c r="D87" s="38" t="s">
        <v>151</v>
      </c>
      <c r="E87" s="38" t="s">
        <v>151</v>
      </c>
      <c r="F87" s="45" t="s">
        <v>190</v>
      </c>
      <c r="G87" s="38" t="s">
        <v>151</v>
      </c>
      <c r="H87" s="38" t="s">
        <v>151</v>
      </c>
      <c r="I87" s="38" t="s">
        <v>151</v>
      </c>
      <c r="J87" s="38" t="s">
        <v>151</v>
      </c>
      <c r="K87" s="38" t="s">
        <v>151</v>
      </c>
      <c r="L87" s="38" t="s">
        <v>151</v>
      </c>
      <c r="M87" s="38" t="s">
        <v>151</v>
      </c>
      <c r="N87" s="38" t="s">
        <v>151</v>
      </c>
      <c r="O87" s="38" t="s">
        <v>151</v>
      </c>
      <c r="P87" s="38" t="s">
        <v>151</v>
      </c>
      <c r="Q87" s="38" t="s">
        <v>151</v>
      </c>
      <c r="R87" s="38" t="s">
        <v>151</v>
      </c>
      <c r="S87" s="38" t="s">
        <v>151</v>
      </c>
      <c r="T87" s="45" t="s">
        <v>190</v>
      </c>
      <c r="U87" s="38" t="s">
        <v>151</v>
      </c>
      <c r="V87" s="38" t="s">
        <v>151</v>
      </c>
      <c r="W87" s="38" t="s">
        <v>151</v>
      </c>
      <c r="X87" s="38" t="s">
        <v>151</v>
      </c>
      <c r="Y87" s="38" t="s">
        <v>151</v>
      </c>
      <c r="Z87" s="38" t="s">
        <v>151</v>
      </c>
      <c r="AA87" s="38" t="s">
        <v>151</v>
      </c>
      <c r="AB87" s="38" t="s">
        <v>151</v>
      </c>
      <c r="AC87" s="38" t="s">
        <v>151</v>
      </c>
      <c r="AD87" s="38" t="s">
        <v>151</v>
      </c>
      <c r="AE87" s="38" t="s">
        <v>151</v>
      </c>
      <c r="AF87" s="38" t="s">
        <v>151</v>
      </c>
      <c r="AG87" s="38" t="s">
        <v>151</v>
      </c>
      <c r="AH87" s="38" t="s">
        <v>151</v>
      </c>
      <c r="AI87" s="38" t="s">
        <v>151</v>
      </c>
      <c r="AJ87" s="38" t="s">
        <v>151</v>
      </c>
      <c r="AK87" s="38" t="s">
        <v>151</v>
      </c>
      <c r="AL87" s="38" t="s">
        <v>151</v>
      </c>
      <c r="AM87" s="38" t="s">
        <v>151</v>
      </c>
      <c r="AN87" s="38" t="s">
        <v>151</v>
      </c>
      <c r="AO87" s="38" t="s">
        <v>151</v>
      </c>
      <c r="AP87" s="38" t="s">
        <v>151</v>
      </c>
      <c r="AQ87" s="38" t="s">
        <v>151</v>
      </c>
      <c r="AR87" s="38" t="s">
        <v>151</v>
      </c>
    </row>
    <row r="88">
      <c r="A88" s="1" t="str">
        <f>IFERROR(__xludf.DUMMYFUNCTION("""COMPUTED_VALUE"""),"Lady Deathstrike")</f>
        <v>Lady Deathstrike</v>
      </c>
      <c r="B88" s="45" t="s">
        <v>190</v>
      </c>
      <c r="C88" s="45" t="s">
        <v>190</v>
      </c>
      <c r="D88" s="38" t="s">
        <v>151</v>
      </c>
      <c r="E88" s="38" t="s">
        <v>151</v>
      </c>
      <c r="F88" s="38" t="s">
        <v>151</v>
      </c>
      <c r="G88" s="38" t="s">
        <v>151</v>
      </c>
      <c r="H88" s="38" t="s">
        <v>151</v>
      </c>
      <c r="I88" s="38" t="s">
        <v>151</v>
      </c>
      <c r="J88" s="38" t="s">
        <v>151</v>
      </c>
      <c r="K88" s="38" t="s">
        <v>151</v>
      </c>
      <c r="L88" s="38" t="s">
        <v>151</v>
      </c>
      <c r="M88" s="38" t="s">
        <v>151</v>
      </c>
      <c r="N88" s="38" t="s">
        <v>151</v>
      </c>
      <c r="O88" s="38" t="s">
        <v>151</v>
      </c>
      <c r="P88" s="38" t="s">
        <v>151</v>
      </c>
      <c r="Q88" s="38" t="s">
        <v>151</v>
      </c>
      <c r="R88" s="38" t="s">
        <v>151</v>
      </c>
      <c r="S88" s="45" t="s">
        <v>190</v>
      </c>
      <c r="T88" s="38" t="s">
        <v>151</v>
      </c>
      <c r="U88" s="38" t="s">
        <v>151</v>
      </c>
      <c r="V88" s="38" t="s">
        <v>151</v>
      </c>
      <c r="W88" s="38" t="s">
        <v>151</v>
      </c>
      <c r="X88" s="38" t="s">
        <v>151</v>
      </c>
      <c r="Y88" s="38" t="s">
        <v>151</v>
      </c>
      <c r="Z88" s="38" t="s">
        <v>151</v>
      </c>
      <c r="AA88" s="38" t="s">
        <v>151</v>
      </c>
      <c r="AB88" s="38" t="s">
        <v>151</v>
      </c>
      <c r="AC88" s="38" t="s">
        <v>151</v>
      </c>
      <c r="AD88" s="38" t="s">
        <v>151</v>
      </c>
      <c r="AE88" s="38" t="s">
        <v>151</v>
      </c>
      <c r="AF88" s="38" t="s">
        <v>151</v>
      </c>
      <c r="AG88" s="38" t="s">
        <v>151</v>
      </c>
      <c r="AH88" s="38" t="s">
        <v>151</v>
      </c>
      <c r="AI88" s="38" t="s">
        <v>151</v>
      </c>
      <c r="AJ88" s="45" t="s">
        <v>190</v>
      </c>
      <c r="AK88" s="38" t="s">
        <v>151</v>
      </c>
      <c r="AL88" s="38" t="s">
        <v>151</v>
      </c>
      <c r="AM88" s="38" t="s">
        <v>151</v>
      </c>
      <c r="AN88" s="38" t="s">
        <v>151</v>
      </c>
      <c r="AO88" s="38" t="s">
        <v>151</v>
      </c>
      <c r="AP88" s="38" t="s">
        <v>151</v>
      </c>
      <c r="AQ88" s="38" t="s">
        <v>151</v>
      </c>
      <c r="AR88" s="38" t="s">
        <v>151</v>
      </c>
    </row>
    <row r="89">
      <c r="A89" s="1" t="str">
        <f>IFERROR(__xludf.DUMMYFUNCTION("""COMPUTED_VALUE"""),"Lizard")</f>
        <v>Lizard</v>
      </c>
      <c r="B89" s="38" t="s">
        <v>151</v>
      </c>
      <c r="C89" s="38" t="s">
        <v>151</v>
      </c>
      <c r="D89" s="38" t="s">
        <v>151</v>
      </c>
      <c r="E89" s="38" t="s">
        <v>151</v>
      </c>
      <c r="F89" s="38" t="s">
        <v>151</v>
      </c>
      <c r="G89" s="45" t="s">
        <v>190</v>
      </c>
      <c r="H89" s="38" t="s">
        <v>151</v>
      </c>
      <c r="I89" s="38" t="s">
        <v>151</v>
      </c>
      <c r="J89" s="38" t="s">
        <v>151</v>
      </c>
      <c r="K89" s="38" t="s">
        <v>151</v>
      </c>
      <c r="L89" s="38" t="s">
        <v>151</v>
      </c>
      <c r="M89" s="38" t="s">
        <v>151</v>
      </c>
      <c r="N89" s="38" t="s">
        <v>151</v>
      </c>
      <c r="O89" s="38" t="s">
        <v>151</v>
      </c>
      <c r="P89" s="38" t="s">
        <v>151</v>
      </c>
      <c r="Q89" s="38" t="s">
        <v>151</v>
      </c>
      <c r="R89" s="38" t="s">
        <v>151</v>
      </c>
      <c r="S89" s="45" t="s">
        <v>190</v>
      </c>
      <c r="T89" s="38" t="s">
        <v>151</v>
      </c>
      <c r="U89" s="38" t="s">
        <v>151</v>
      </c>
      <c r="V89" s="38" t="s">
        <v>151</v>
      </c>
      <c r="W89" s="38" t="s">
        <v>151</v>
      </c>
      <c r="X89" s="38" t="s">
        <v>151</v>
      </c>
      <c r="Y89" s="38" t="s">
        <v>151</v>
      </c>
      <c r="Z89" s="38" t="s">
        <v>151</v>
      </c>
      <c r="AA89" s="38" t="s">
        <v>151</v>
      </c>
      <c r="AB89" s="45" t="s">
        <v>190</v>
      </c>
      <c r="AC89" s="38" t="s">
        <v>151</v>
      </c>
      <c r="AD89" s="38" t="s">
        <v>151</v>
      </c>
      <c r="AE89" s="38" t="s">
        <v>151</v>
      </c>
      <c r="AF89" s="38" t="s">
        <v>151</v>
      </c>
      <c r="AG89" s="38" t="s">
        <v>151</v>
      </c>
      <c r="AH89" s="38" t="s">
        <v>151</v>
      </c>
      <c r="AI89" s="38" t="s">
        <v>151</v>
      </c>
      <c r="AJ89" s="38" t="s">
        <v>151</v>
      </c>
      <c r="AK89" s="38" t="s">
        <v>151</v>
      </c>
      <c r="AL89" s="38" t="s">
        <v>151</v>
      </c>
      <c r="AM89" s="38" t="s">
        <v>151</v>
      </c>
      <c r="AN89" s="38" t="s">
        <v>151</v>
      </c>
      <c r="AO89" s="38" t="s">
        <v>151</v>
      </c>
      <c r="AP89" s="38" t="s">
        <v>151</v>
      </c>
      <c r="AQ89" s="38" t="s">
        <v>151</v>
      </c>
      <c r="AR89" s="38" t="s">
        <v>151</v>
      </c>
    </row>
    <row r="90">
      <c r="A90" s="1" t="str">
        <f>IFERROR(__xludf.DUMMYFUNCTION("""COMPUTED_VALUE"""),"Longshot")</f>
        <v>Longshot</v>
      </c>
      <c r="B90" s="45" t="s">
        <v>190</v>
      </c>
      <c r="C90" s="38" t="s">
        <v>151</v>
      </c>
      <c r="D90" s="38" t="s">
        <v>151</v>
      </c>
      <c r="E90" s="38" t="s">
        <v>151</v>
      </c>
      <c r="F90" s="38" t="s">
        <v>151</v>
      </c>
      <c r="G90" s="38" t="s">
        <v>151</v>
      </c>
      <c r="H90" s="38" t="s">
        <v>151</v>
      </c>
      <c r="I90" s="38" t="s">
        <v>151</v>
      </c>
      <c r="J90" s="38" t="s">
        <v>151</v>
      </c>
      <c r="K90" s="38" t="s">
        <v>151</v>
      </c>
      <c r="L90" s="38" t="s">
        <v>151</v>
      </c>
      <c r="M90" s="38" t="s">
        <v>151</v>
      </c>
      <c r="N90" s="38" t="s">
        <v>151</v>
      </c>
      <c r="O90" s="38" t="s">
        <v>151</v>
      </c>
      <c r="P90" s="38" t="s">
        <v>151</v>
      </c>
      <c r="Q90" s="38" t="s">
        <v>151</v>
      </c>
      <c r="R90" s="38" t="s">
        <v>151</v>
      </c>
      <c r="S90" s="38" t="s">
        <v>151</v>
      </c>
      <c r="T90" s="38" t="s">
        <v>151</v>
      </c>
      <c r="U90" s="38" t="s">
        <v>151</v>
      </c>
      <c r="V90" s="38" t="s">
        <v>151</v>
      </c>
      <c r="W90" s="38" t="s">
        <v>151</v>
      </c>
      <c r="X90" s="38" t="s">
        <v>151</v>
      </c>
      <c r="Y90" s="38" t="s">
        <v>151</v>
      </c>
      <c r="Z90" s="38" t="s">
        <v>151</v>
      </c>
      <c r="AA90" s="38" t="s">
        <v>151</v>
      </c>
      <c r="AB90" s="38" t="s">
        <v>151</v>
      </c>
      <c r="AC90" s="38" t="s">
        <v>151</v>
      </c>
      <c r="AD90" s="38" t="s">
        <v>151</v>
      </c>
      <c r="AE90" s="38" t="s">
        <v>151</v>
      </c>
      <c r="AF90" s="38" t="s">
        <v>151</v>
      </c>
      <c r="AG90" s="38" t="s">
        <v>151</v>
      </c>
      <c r="AH90" s="38" t="s">
        <v>151</v>
      </c>
      <c r="AI90" s="38" t="s">
        <v>151</v>
      </c>
      <c r="AJ90" s="38" t="s">
        <v>151</v>
      </c>
      <c r="AK90" s="38" t="s">
        <v>151</v>
      </c>
      <c r="AL90" s="38" t="s">
        <v>151</v>
      </c>
      <c r="AM90" s="38" t="s">
        <v>151</v>
      </c>
      <c r="AN90" s="38" t="s">
        <v>151</v>
      </c>
      <c r="AO90" s="38" t="s">
        <v>151</v>
      </c>
      <c r="AP90" s="38" t="s">
        <v>151</v>
      </c>
      <c r="AQ90" s="38" t="s">
        <v>151</v>
      </c>
      <c r="AR90" s="38" t="s">
        <v>151</v>
      </c>
    </row>
    <row r="91">
      <c r="A91" s="1" t="str">
        <f>IFERROR(__xludf.DUMMYFUNCTION("""COMPUTED_VALUE"""),"Luke Cage")</f>
        <v>Luke Cage</v>
      </c>
      <c r="B91" s="38" t="s">
        <v>151</v>
      </c>
      <c r="C91" s="38" t="s">
        <v>151</v>
      </c>
      <c r="D91" s="38" t="s">
        <v>151</v>
      </c>
      <c r="E91" s="38" t="s">
        <v>151</v>
      </c>
      <c r="F91" s="45" t="s">
        <v>190</v>
      </c>
      <c r="G91" s="38" t="s">
        <v>151</v>
      </c>
      <c r="H91" s="38" t="s">
        <v>151</v>
      </c>
      <c r="I91" s="38" t="s">
        <v>151</v>
      </c>
      <c r="J91" s="38" t="s">
        <v>151</v>
      </c>
      <c r="K91" s="38" t="s">
        <v>151</v>
      </c>
      <c r="L91" s="38" t="s">
        <v>151</v>
      </c>
      <c r="M91" s="38" t="s">
        <v>151</v>
      </c>
      <c r="N91" s="38" t="s">
        <v>151</v>
      </c>
      <c r="O91" s="38" t="s">
        <v>151</v>
      </c>
      <c r="P91" s="38" t="s">
        <v>151</v>
      </c>
      <c r="Q91" s="38" t="s">
        <v>151</v>
      </c>
      <c r="R91" s="38" t="s">
        <v>151</v>
      </c>
      <c r="S91" s="38" t="s">
        <v>151</v>
      </c>
      <c r="T91" s="38" t="s">
        <v>151</v>
      </c>
      <c r="U91" s="38" t="s">
        <v>151</v>
      </c>
      <c r="V91" s="38" t="s">
        <v>151</v>
      </c>
      <c r="W91" s="38" t="s">
        <v>151</v>
      </c>
      <c r="X91" s="38" t="s">
        <v>151</v>
      </c>
      <c r="Y91" s="38" t="s">
        <v>151</v>
      </c>
      <c r="Z91" s="38" t="s">
        <v>151</v>
      </c>
      <c r="AA91" s="38" t="s">
        <v>151</v>
      </c>
      <c r="AB91" s="38" t="s">
        <v>151</v>
      </c>
      <c r="AC91" s="38" t="s">
        <v>151</v>
      </c>
      <c r="AD91" s="38" t="s">
        <v>151</v>
      </c>
      <c r="AE91" s="38" t="s">
        <v>151</v>
      </c>
      <c r="AF91" s="38" t="s">
        <v>151</v>
      </c>
      <c r="AG91" s="38" t="s">
        <v>151</v>
      </c>
      <c r="AH91" s="38" t="s">
        <v>151</v>
      </c>
      <c r="AI91" s="38" t="s">
        <v>151</v>
      </c>
      <c r="AJ91" s="38" t="s">
        <v>151</v>
      </c>
      <c r="AK91" s="38" t="s">
        <v>151</v>
      </c>
      <c r="AL91" s="38" t="s">
        <v>151</v>
      </c>
      <c r="AM91" s="38" t="s">
        <v>151</v>
      </c>
      <c r="AN91" s="38" t="s">
        <v>151</v>
      </c>
      <c r="AO91" s="38" t="s">
        <v>151</v>
      </c>
      <c r="AP91" s="38" t="s">
        <v>151</v>
      </c>
      <c r="AQ91" s="38" t="s">
        <v>151</v>
      </c>
      <c r="AR91" s="38" t="s">
        <v>151</v>
      </c>
    </row>
    <row r="92">
      <c r="A92" s="1" t="str">
        <f>IFERROR(__xludf.DUMMYFUNCTION("""COMPUTED_VALUE"""),"Lumatrix")</f>
        <v>Lumatrix</v>
      </c>
      <c r="B92" s="38" t="s">
        <v>151</v>
      </c>
      <c r="C92" s="38" t="s">
        <v>151</v>
      </c>
      <c r="D92" s="38" t="s">
        <v>151</v>
      </c>
      <c r="E92" s="38" t="s">
        <v>151</v>
      </c>
      <c r="F92" s="45" t="s">
        <v>190</v>
      </c>
      <c r="G92" s="38" t="s">
        <v>151</v>
      </c>
      <c r="H92" s="38" t="s">
        <v>151</v>
      </c>
      <c r="I92" s="38" t="s">
        <v>151</v>
      </c>
      <c r="J92" s="38" t="s">
        <v>151</v>
      </c>
      <c r="K92" s="38" t="s">
        <v>151</v>
      </c>
      <c r="L92" s="38" t="s">
        <v>151</v>
      </c>
      <c r="M92" s="38" t="s">
        <v>151</v>
      </c>
      <c r="N92" s="38" t="s">
        <v>151</v>
      </c>
      <c r="O92" s="38" t="s">
        <v>151</v>
      </c>
      <c r="P92" s="38" t="s">
        <v>151</v>
      </c>
      <c r="Q92" s="38" t="s">
        <v>151</v>
      </c>
      <c r="R92" s="38" t="s">
        <v>151</v>
      </c>
      <c r="S92" s="38" t="s">
        <v>151</v>
      </c>
      <c r="T92" s="38" t="s">
        <v>151</v>
      </c>
      <c r="U92" s="38" t="s">
        <v>151</v>
      </c>
      <c r="V92" s="38" t="s">
        <v>151</v>
      </c>
      <c r="W92" s="38" t="s">
        <v>151</v>
      </c>
      <c r="X92" s="38" t="s">
        <v>151</v>
      </c>
      <c r="Y92" s="38" t="s">
        <v>151</v>
      </c>
      <c r="Z92" s="38" t="s">
        <v>151</v>
      </c>
      <c r="AA92" s="38" t="s">
        <v>151</v>
      </c>
      <c r="AB92" s="38" t="s">
        <v>151</v>
      </c>
      <c r="AC92" s="38" t="s">
        <v>151</v>
      </c>
      <c r="AD92" s="38" t="s">
        <v>151</v>
      </c>
      <c r="AE92" s="38" t="s">
        <v>151</v>
      </c>
      <c r="AF92" s="38" t="s">
        <v>151</v>
      </c>
      <c r="AG92" s="38" t="s">
        <v>151</v>
      </c>
      <c r="AH92" s="38" t="s">
        <v>151</v>
      </c>
      <c r="AI92" s="38" t="s">
        <v>151</v>
      </c>
      <c r="AJ92" s="45" t="s">
        <v>190</v>
      </c>
      <c r="AK92" s="38" t="s">
        <v>151</v>
      </c>
      <c r="AL92" s="38" t="s">
        <v>151</v>
      </c>
      <c r="AM92" s="38" t="s">
        <v>151</v>
      </c>
      <c r="AN92" s="38" t="s">
        <v>151</v>
      </c>
      <c r="AO92" s="38" t="s">
        <v>151</v>
      </c>
      <c r="AP92" s="38" t="s">
        <v>151</v>
      </c>
      <c r="AQ92" s="38" t="s">
        <v>151</v>
      </c>
      <c r="AR92" s="38" t="s">
        <v>151</v>
      </c>
    </row>
    <row r="93">
      <c r="A93" s="1" t="str">
        <f>IFERROR(__xludf.DUMMYFUNCTION("""COMPUTED_VALUE"""),"M’Baku")</f>
        <v>M’Baku</v>
      </c>
      <c r="B93" s="38" t="s">
        <v>151</v>
      </c>
      <c r="C93" s="38" t="s">
        <v>151</v>
      </c>
      <c r="D93" s="38" t="s">
        <v>151</v>
      </c>
      <c r="E93" s="38" t="s">
        <v>151</v>
      </c>
      <c r="F93" s="38" t="s">
        <v>151</v>
      </c>
      <c r="G93" s="38" t="s">
        <v>151</v>
      </c>
      <c r="H93" s="38" t="s">
        <v>151</v>
      </c>
      <c r="I93" s="38" t="s">
        <v>151</v>
      </c>
      <c r="J93" s="38" t="s">
        <v>151</v>
      </c>
      <c r="K93" s="38" t="s">
        <v>151</v>
      </c>
      <c r="L93" s="38" t="s">
        <v>151</v>
      </c>
      <c r="M93" s="38" t="s">
        <v>151</v>
      </c>
      <c r="N93" s="38" t="s">
        <v>151</v>
      </c>
      <c r="O93" s="38" t="s">
        <v>151</v>
      </c>
      <c r="P93" s="38" t="s">
        <v>151</v>
      </c>
      <c r="Q93" s="38" t="s">
        <v>151</v>
      </c>
      <c r="R93" s="45" t="s">
        <v>190</v>
      </c>
      <c r="S93" s="38" t="s">
        <v>151</v>
      </c>
      <c r="T93" s="38" t="s">
        <v>151</v>
      </c>
      <c r="U93" s="38" t="s">
        <v>151</v>
      </c>
      <c r="V93" s="38" t="s">
        <v>151</v>
      </c>
      <c r="W93" s="38" t="s">
        <v>151</v>
      </c>
      <c r="X93" s="38" t="s">
        <v>151</v>
      </c>
      <c r="Y93" s="38" t="s">
        <v>151</v>
      </c>
      <c r="Z93" s="38" t="s">
        <v>151</v>
      </c>
      <c r="AA93" s="38" t="s">
        <v>151</v>
      </c>
      <c r="AB93" s="38" t="s">
        <v>151</v>
      </c>
      <c r="AC93" s="38" t="s">
        <v>151</v>
      </c>
      <c r="AD93" s="38" t="s">
        <v>151</v>
      </c>
      <c r="AE93" s="38" t="s">
        <v>151</v>
      </c>
      <c r="AF93" s="38" t="s">
        <v>151</v>
      </c>
      <c r="AG93" s="38" t="s">
        <v>151</v>
      </c>
      <c r="AH93" s="38" t="s">
        <v>151</v>
      </c>
      <c r="AI93" s="38" t="s">
        <v>151</v>
      </c>
      <c r="AJ93" s="38" t="s">
        <v>151</v>
      </c>
      <c r="AK93" s="38" t="s">
        <v>151</v>
      </c>
      <c r="AL93" s="38" t="s">
        <v>151</v>
      </c>
      <c r="AM93" s="38" t="s">
        <v>151</v>
      </c>
      <c r="AN93" s="38" t="s">
        <v>151</v>
      </c>
      <c r="AO93" s="38" t="s">
        <v>151</v>
      </c>
      <c r="AP93" s="38" t="s">
        <v>151</v>
      </c>
      <c r="AQ93" s="38" t="s">
        <v>151</v>
      </c>
      <c r="AR93" s="38" t="s">
        <v>151</v>
      </c>
    </row>
    <row r="94">
      <c r="A94" s="1" t="str">
        <f>IFERROR(__xludf.DUMMYFUNCTION("""COMPUTED_VALUE"""),"Madelyne Pryor")</f>
        <v>Madelyne Pryor</v>
      </c>
      <c r="B94" s="38" t="s">
        <v>151</v>
      </c>
      <c r="C94" s="38" t="s">
        <v>151</v>
      </c>
      <c r="D94" s="38" t="s">
        <v>151</v>
      </c>
      <c r="E94" s="38" t="s">
        <v>151</v>
      </c>
      <c r="F94" s="45" t="s">
        <v>190</v>
      </c>
      <c r="G94" s="38" t="s">
        <v>151</v>
      </c>
      <c r="H94" s="38" t="s">
        <v>151</v>
      </c>
      <c r="I94" s="38" t="s">
        <v>151</v>
      </c>
      <c r="J94" s="38" t="s">
        <v>151</v>
      </c>
      <c r="K94" s="38" t="s">
        <v>151</v>
      </c>
      <c r="L94" s="38" t="s">
        <v>151</v>
      </c>
      <c r="M94" s="38" t="s">
        <v>151</v>
      </c>
      <c r="N94" s="38" t="s">
        <v>151</v>
      </c>
      <c r="O94" s="38" t="s">
        <v>151</v>
      </c>
      <c r="P94" s="38" t="s">
        <v>151</v>
      </c>
      <c r="Q94" s="38" t="s">
        <v>151</v>
      </c>
      <c r="R94" s="38" t="s">
        <v>151</v>
      </c>
      <c r="S94" s="38" t="s">
        <v>151</v>
      </c>
      <c r="T94" s="38" t="s">
        <v>151</v>
      </c>
      <c r="U94" s="38" t="s">
        <v>151</v>
      </c>
      <c r="V94" s="38" t="s">
        <v>151</v>
      </c>
      <c r="W94" s="38" t="s">
        <v>151</v>
      </c>
      <c r="X94" s="38" t="s">
        <v>151</v>
      </c>
      <c r="Y94" s="38" t="s">
        <v>151</v>
      </c>
      <c r="Z94" s="38" t="s">
        <v>151</v>
      </c>
      <c r="AA94" s="38" t="s">
        <v>151</v>
      </c>
      <c r="AB94" s="38" t="s">
        <v>151</v>
      </c>
      <c r="AC94" s="38" t="s">
        <v>151</v>
      </c>
      <c r="AD94" s="38" t="s">
        <v>151</v>
      </c>
      <c r="AE94" s="38" t="s">
        <v>151</v>
      </c>
      <c r="AF94" s="38" t="s">
        <v>151</v>
      </c>
      <c r="AG94" s="38" t="s">
        <v>151</v>
      </c>
      <c r="AH94" s="38" t="s">
        <v>151</v>
      </c>
      <c r="AI94" s="38" t="s">
        <v>151</v>
      </c>
      <c r="AJ94" s="45" t="s">
        <v>190</v>
      </c>
      <c r="AK94" s="38" t="s">
        <v>151</v>
      </c>
      <c r="AL94" s="38" t="s">
        <v>151</v>
      </c>
      <c r="AM94" s="38" t="s">
        <v>151</v>
      </c>
      <c r="AN94" s="38" t="s">
        <v>151</v>
      </c>
      <c r="AO94" s="38" t="s">
        <v>151</v>
      </c>
      <c r="AP94" s="38" t="s">
        <v>151</v>
      </c>
      <c r="AQ94" s="38" t="s">
        <v>151</v>
      </c>
      <c r="AR94" s="38" t="s">
        <v>151</v>
      </c>
    </row>
    <row r="95">
      <c r="A95" s="1" t="str">
        <f>IFERROR(__xludf.DUMMYFUNCTION("""COMPUTED_VALUE"""),"Maestro")</f>
        <v>Maestro</v>
      </c>
      <c r="B95" s="38" t="s">
        <v>151</v>
      </c>
      <c r="C95" s="38" t="s">
        <v>151</v>
      </c>
      <c r="D95" s="38" t="s">
        <v>151</v>
      </c>
      <c r="E95" s="38" t="s">
        <v>151</v>
      </c>
      <c r="F95" s="38" t="s">
        <v>151</v>
      </c>
      <c r="G95" s="38" t="s">
        <v>151</v>
      </c>
      <c r="H95" s="38" t="s">
        <v>151</v>
      </c>
      <c r="I95" s="38" t="s">
        <v>151</v>
      </c>
      <c r="J95" s="38" t="s">
        <v>151</v>
      </c>
      <c r="K95" s="38" t="s">
        <v>151</v>
      </c>
      <c r="L95" s="38" t="s">
        <v>151</v>
      </c>
      <c r="M95" s="38" t="s">
        <v>151</v>
      </c>
      <c r="N95" s="38" t="s">
        <v>151</v>
      </c>
      <c r="O95" s="38" t="s">
        <v>151</v>
      </c>
      <c r="P95" s="38" t="s">
        <v>151</v>
      </c>
      <c r="Q95" s="38" t="s">
        <v>151</v>
      </c>
      <c r="R95" s="38" t="s">
        <v>151</v>
      </c>
      <c r="S95" s="38" t="s">
        <v>151</v>
      </c>
      <c r="T95" s="45" t="s">
        <v>190</v>
      </c>
      <c r="U95" s="38" t="s">
        <v>151</v>
      </c>
      <c r="V95" s="38" t="s">
        <v>151</v>
      </c>
      <c r="W95" s="38" t="s">
        <v>151</v>
      </c>
      <c r="X95" s="38" t="s">
        <v>151</v>
      </c>
      <c r="Y95" s="38" t="s">
        <v>151</v>
      </c>
      <c r="Z95" s="38" t="s">
        <v>151</v>
      </c>
      <c r="AA95" s="38" t="s">
        <v>151</v>
      </c>
      <c r="AB95" s="45" t="s">
        <v>190</v>
      </c>
      <c r="AC95" s="38" t="s">
        <v>151</v>
      </c>
      <c r="AD95" s="38" t="s">
        <v>151</v>
      </c>
      <c r="AE95" s="38" t="s">
        <v>151</v>
      </c>
      <c r="AF95" s="38" t="s">
        <v>151</v>
      </c>
      <c r="AG95" s="38" t="s">
        <v>151</v>
      </c>
      <c r="AH95" s="38" t="s">
        <v>151</v>
      </c>
      <c r="AI95" s="38" t="s">
        <v>151</v>
      </c>
      <c r="AJ95" s="38" t="s">
        <v>151</v>
      </c>
      <c r="AK95" s="45" t="s">
        <v>190</v>
      </c>
      <c r="AL95" s="38" t="s">
        <v>151</v>
      </c>
      <c r="AM95" s="38" t="s">
        <v>151</v>
      </c>
      <c r="AN95" s="38" t="s">
        <v>151</v>
      </c>
      <c r="AO95" s="38" t="s">
        <v>151</v>
      </c>
      <c r="AP95" s="38" t="s">
        <v>151</v>
      </c>
      <c r="AQ95" s="38" t="s">
        <v>151</v>
      </c>
      <c r="AR95" s="38" t="s">
        <v>151</v>
      </c>
    </row>
    <row r="96">
      <c r="A96" s="1" t="str">
        <f>IFERROR(__xludf.DUMMYFUNCTION("""COMPUTED_VALUE"""),"Magik")</f>
        <v>Magik</v>
      </c>
      <c r="B96" s="38" t="s">
        <v>151</v>
      </c>
      <c r="C96" s="38" t="s">
        <v>151</v>
      </c>
      <c r="D96" s="38" t="s">
        <v>151</v>
      </c>
      <c r="E96" s="38" t="s">
        <v>151</v>
      </c>
      <c r="F96" s="45" t="s">
        <v>190</v>
      </c>
      <c r="G96" s="38" t="s">
        <v>151</v>
      </c>
      <c r="H96" s="38" t="s">
        <v>151</v>
      </c>
      <c r="I96" s="38" t="s">
        <v>151</v>
      </c>
      <c r="J96" s="38" t="s">
        <v>151</v>
      </c>
      <c r="K96" s="38" t="s">
        <v>151</v>
      </c>
      <c r="L96" s="38" t="s">
        <v>151</v>
      </c>
      <c r="M96" s="38" t="s">
        <v>151</v>
      </c>
      <c r="N96" s="38" t="s">
        <v>151</v>
      </c>
      <c r="O96" s="38" t="s">
        <v>151</v>
      </c>
      <c r="P96" s="38" t="s">
        <v>151</v>
      </c>
      <c r="Q96" s="38" t="s">
        <v>151</v>
      </c>
      <c r="R96" s="38" t="s">
        <v>151</v>
      </c>
      <c r="S96" s="38" t="s">
        <v>151</v>
      </c>
      <c r="T96" s="38" t="s">
        <v>151</v>
      </c>
      <c r="U96" s="38" t="s">
        <v>151</v>
      </c>
      <c r="V96" s="38" t="s">
        <v>151</v>
      </c>
      <c r="W96" s="38" t="s">
        <v>151</v>
      </c>
      <c r="X96" s="38" t="s">
        <v>151</v>
      </c>
      <c r="Y96" s="38" t="s">
        <v>151</v>
      </c>
      <c r="Z96" s="38" t="s">
        <v>151</v>
      </c>
      <c r="AA96" s="38" t="s">
        <v>151</v>
      </c>
      <c r="AB96" s="38" t="s">
        <v>151</v>
      </c>
      <c r="AC96" s="38" t="s">
        <v>151</v>
      </c>
      <c r="AD96" s="38" t="s">
        <v>151</v>
      </c>
      <c r="AE96" s="38" t="s">
        <v>151</v>
      </c>
      <c r="AF96" s="38" t="s">
        <v>151</v>
      </c>
      <c r="AG96" s="38" t="s">
        <v>151</v>
      </c>
      <c r="AH96" s="38" t="s">
        <v>151</v>
      </c>
      <c r="AI96" s="38" t="s">
        <v>151</v>
      </c>
      <c r="AJ96" s="38" t="s">
        <v>151</v>
      </c>
      <c r="AK96" s="38" t="s">
        <v>151</v>
      </c>
      <c r="AL96" s="38" t="s">
        <v>151</v>
      </c>
      <c r="AM96" s="38" t="s">
        <v>151</v>
      </c>
      <c r="AN96" s="38" t="s">
        <v>151</v>
      </c>
      <c r="AO96" s="38" t="s">
        <v>151</v>
      </c>
      <c r="AP96" s="38" t="s">
        <v>151</v>
      </c>
      <c r="AQ96" s="38" t="s">
        <v>151</v>
      </c>
      <c r="AR96" s="38" t="s">
        <v>151</v>
      </c>
    </row>
    <row r="97">
      <c r="A97" s="1" t="str">
        <f>IFERROR(__xludf.DUMMYFUNCTION("""COMPUTED_VALUE"""),"Magneto (House of X)")</f>
        <v>Magneto (House of X)</v>
      </c>
      <c r="B97" s="38" t="s">
        <v>151</v>
      </c>
      <c r="C97" s="38" t="s">
        <v>151</v>
      </c>
      <c r="D97" s="38" t="s">
        <v>151</v>
      </c>
      <c r="E97" s="38" t="s">
        <v>151</v>
      </c>
      <c r="F97" s="45" t="s">
        <v>190</v>
      </c>
      <c r="G97" s="38" t="s">
        <v>151</v>
      </c>
      <c r="H97" s="38" t="s">
        <v>151</v>
      </c>
      <c r="I97" s="38" t="s">
        <v>151</v>
      </c>
      <c r="J97" s="38" t="s">
        <v>151</v>
      </c>
      <c r="K97" s="38" t="s">
        <v>151</v>
      </c>
      <c r="L97" s="38" t="s">
        <v>151</v>
      </c>
      <c r="M97" s="38" t="s">
        <v>151</v>
      </c>
      <c r="N97" s="38" t="s">
        <v>151</v>
      </c>
      <c r="O97" s="38" t="s">
        <v>151</v>
      </c>
      <c r="P97" s="38" t="s">
        <v>151</v>
      </c>
      <c r="Q97" s="38" t="s">
        <v>151</v>
      </c>
      <c r="R97" s="38" t="s">
        <v>151</v>
      </c>
      <c r="S97" s="38" t="s">
        <v>151</v>
      </c>
      <c r="T97" s="38" t="s">
        <v>151</v>
      </c>
      <c r="U97" s="38" t="s">
        <v>151</v>
      </c>
      <c r="V97" s="38" t="s">
        <v>151</v>
      </c>
      <c r="W97" s="38" t="s">
        <v>151</v>
      </c>
      <c r="X97" s="38" t="s">
        <v>151</v>
      </c>
      <c r="Y97" s="38" t="s">
        <v>151</v>
      </c>
      <c r="Z97" s="38" t="s">
        <v>151</v>
      </c>
      <c r="AA97" s="38" t="s">
        <v>151</v>
      </c>
      <c r="AB97" s="38" t="s">
        <v>151</v>
      </c>
      <c r="AC97" s="38" t="s">
        <v>151</v>
      </c>
      <c r="AD97" s="38" t="s">
        <v>151</v>
      </c>
      <c r="AE97" s="38" t="s">
        <v>151</v>
      </c>
      <c r="AF97" s="38" t="s">
        <v>151</v>
      </c>
      <c r="AG97" s="38" t="s">
        <v>151</v>
      </c>
      <c r="AH97" s="38" t="s">
        <v>151</v>
      </c>
      <c r="AI97" s="38" t="s">
        <v>151</v>
      </c>
      <c r="AJ97" s="38" t="s">
        <v>151</v>
      </c>
      <c r="AK97" s="38" t="s">
        <v>151</v>
      </c>
      <c r="AL97" s="38" t="s">
        <v>151</v>
      </c>
      <c r="AM97" s="38" t="s">
        <v>151</v>
      </c>
      <c r="AN97" s="38" t="s">
        <v>151</v>
      </c>
      <c r="AO97" s="38" t="s">
        <v>151</v>
      </c>
      <c r="AP97" s="38" t="s">
        <v>151</v>
      </c>
      <c r="AQ97" s="38" t="s">
        <v>151</v>
      </c>
      <c r="AR97" s="38" t="s">
        <v>151</v>
      </c>
    </row>
    <row r="98">
      <c r="A98" s="1" t="str">
        <f>IFERROR(__xludf.DUMMYFUNCTION("""COMPUTED_VALUE"""),"Man-Thing")</f>
        <v>Man-Thing</v>
      </c>
      <c r="B98" s="38" t="s">
        <v>151</v>
      </c>
      <c r="C98" s="45" t="s">
        <v>190</v>
      </c>
      <c r="D98" s="45" t="s">
        <v>190</v>
      </c>
      <c r="E98" s="38" t="s">
        <v>151</v>
      </c>
      <c r="F98" s="45" t="s">
        <v>190</v>
      </c>
      <c r="G98" s="38" t="s">
        <v>151</v>
      </c>
      <c r="H98" s="38" t="s">
        <v>151</v>
      </c>
      <c r="I98" s="38" t="s">
        <v>151</v>
      </c>
      <c r="J98" s="38" t="s">
        <v>151</v>
      </c>
      <c r="K98" s="38" t="s">
        <v>151</v>
      </c>
      <c r="L98" s="38" t="s">
        <v>151</v>
      </c>
      <c r="M98" s="38" t="s">
        <v>151</v>
      </c>
      <c r="N98" s="38" t="s">
        <v>151</v>
      </c>
      <c r="O98" s="38" t="s">
        <v>151</v>
      </c>
      <c r="P98" s="38" t="s">
        <v>151</v>
      </c>
      <c r="Q98" s="38" t="s">
        <v>151</v>
      </c>
      <c r="R98" s="38" t="s">
        <v>151</v>
      </c>
      <c r="S98" s="38" t="s">
        <v>151</v>
      </c>
      <c r="T98" s="38" t="s">
        <v>151</v>
      </c>
      <c r="U98" s="38" t="s">
        <v>151</v>
      </c>
      <c r="V98" s="38" t="s">
        <v>151</v>
      </c>
      <c r="W98" s="38" t="s">
        <v>151</v>
      </c>
      <c r="X98" s="38" t="s">
        <v>151</v>
      </c>
      <c r="Y98" s="38" t="s">
        <v>151</v>
      </c>
      <c r="Z98" s="38" t="s">
        <v>151</v>
      </c>
      <c r="AA98" s="38" t="s">
        <v>151</v>
      </c>
      <c r="AB98" s="38" t="s">
        <v>151</v>
      </c>
      <c r="AC98" s="38" t="s">
        <v>151</v>
      </c>
      <c r="AD98" s="38" t="s">
        <v>151</v>
      </c>
      <c r="AE98" s="38" t="s">
        <v>151</v>
      </c>
      <c r="AF98" s="38" t="s">
        <v>151</v>
      </c>
      <c r="AG98" s="38" t="s">
        <v>151</v>
      </c>
      <c r="AH98" s="38" t="s">
        <v>151</v>
      </c>
      <c r="AI98" s="38" t="s">
        <v>151</v>
      </c>
      <c r="AJ98" s="38" t="s">
        <v>151</v>
      </c>
      <c r="AK98" s="38" t="s">
        <v>151</v>
      </c>
      <c r="AL98" s="38" t="s">
        <v>151</v>
      </c>
      <c r="AM98" s="38" t="s">
        <v>151</v>
      </c>
      <c r="AN98" s="38" t="s">
        <v>151</v>
      </c>
      <c r="AO98" s="38" t="s">
        <v>151</v>
      </c>
      <c r="AP98" s="38" t="s">
        <v>151</v>
      </c>
      <c r="AQ98" s="38" t="s">
        <v>151</v>
      </c>
      <c r="AR98" s="38" t="s">
        <v>151</v>
      </c>
    </row>
    <row r="99">
      <c r="A99" s="1" t="str">
        <f>IFERROR(__xludf.DUMMYFUNCTION("""COMPUTED_VALUE"""),"Mangog")</f>
        <v>Mangog</v>
      </c>
      <c r="B99" s="38" t="s">
        <v>151</v>
      </c>
      <c r="C99" s="45" t="s">
        <v>190</v>
      </c>
      <c r="D99" s="38" t="s">
        <v>151</v>
      </c>
      <c r="E99" s="38" t="s">
        <v>151</v>
      </c>
      <c r="F99" s="45" t="s">
        <v>190</v>
      </c>
      <c r="G99" s="38" t="s">
        <v>151</v>
      </c>
      <c r="H99" s="38" t="s">
        <v>151</v>
      </c>
      <c r="I99" s="38" t="s">
        <v>151</v>
      </c>
      <c r="J99" s="38" t="s">
        <v>151</v>
      </c>
      <c r="K99" s="38" t="s">
        <v>151</v>
      </c>
      <c r="L99" s="38" t="s">
        <v>151</v>
      </c>
      <c r="M99" s="38" t="s">
        <v>151</v>
      </c>
      <c r="N99" s="38" t="s">
        <v>151</v>
      </c>
      <c r="O99" s="38" t="s">
        <v>151</v>
      </c>
      <c r="P99" s="38" t="s">
        <v>151</v>
      </c>
      <c r="Q99" s="38" t="s">
        <v>151</v>
      </c>
      <c r="R99" s="38" t="s">
        <v>151</v>
      </c>
      <c r="S99" s="38" t="s">
        <v>151</v>
      </c>
      <c r="T99" s="38" t="s">
        <v>151</v>
      </c>
      <c r="U99" s="38" t="s">
        <v>151</v>
      </c>
      <c r="V99" s="38" t="s">
        <v>151</v>
      </c>
      <c r="W99" s="38" t="s">
        <v>151</v>
      </c>
      <c r="X99" s="38" t="s">
        <v>151</v>
      </c>
      <c r="Y99" s="38" t="s">
        <v>151</v>
      </c>
      <c r="Z99" s="45" t="s">
        <v>190</v>
      </c>
      <c r="AA99" s="38" t="s">
        <v>151</v>
      </c>
      <c r="AB99" s="38" t="s">
        <v>151</v>
      </c>
      <c r="AC99" s="38" t="s">
        <v>151</v>
      </c>
      <c r="AD99" s="38" t="s">
        <v>151</v>
      </c>
      <c r="AE99" s="38" t="s">
        <v>151</v>
      </c>
      <c r="AF99" s="38" t="s">
        <v>151</v>
      </c>
      <c r="AG99" s="38" t="s">
        <v>151</v>
      </c>
      <c r="AH99" s="38" t="s">
        <v>151</v>
      </c>
      <c r="AI99" s="38" t="s">
        <v>151</v>
      </c>
      <c r="AJ99" s="38" t="s">
        <v>151</v>
      </c>
      <c r="AK99" s="38" t="s">
        <v>151</v>
      </c>
      <c r="AL99" s="38" t="s">
        <v>151</v>
      </c>
      <c r="AM99" s="38" t="s">
        <v>151</v>
      </c>
      <c r="AN99" s="38" t="s">
        <v>151</v>
      </c>
      <c r="AO99" s="38" t="s">
        <v>151</v>
      </c>
      <c r="AP99" s="38" t="s">
        <v>151</v>
      </c>
      <c r="AQ99" s="38" t="s">
        <v>151</v>
      </c>
      <c r="AR99" s="38" t="s">
        <v>151</v>
      </c>
    </row>
    <row r="100">
      <c r="A100" s="1" t="str">
        <f>IFERROR(__xludf.DUMMYFUNCTION("""COMPUTED_VALUE"""),"Masacre")</f>
        <v>Masacre</v>
      </c>
      <c r="B100" s="38" t="s">
        <v>151</v>
      </c>
      <c r="C100" s="38" t="s">
        <v>151</v>
      </c>
      <c r="D100" s="38" t="s">
        <v>151</v>
      </c>
      <c r="E100" s="38" t="s">
        <v>151</v>
      </c>
      <c r="F100" s="38" t="s">
        <v>151</v>
      </c>
      <c r="G100" s="38" t="s">
        <v>151</v>
      </c>
      <c r="H100" s="38" t="s">
        <v>151</v>
      </c>
      <c r="I100" s="38" t="s">
        <v>151</v>
      </c>
      <c r="J100" s="38" t="s">
        <v>151</v>
      </c>
      <c r="K100" s="38" t="s">
        <v>151</v>
      </c>
      <c r="L100" s="38" t="s">
        <v>151</v>
      </c>
      <c r="M100" s="38" t="s">
        <v>151</v>
      </c>
      <c r="N100" s="38" t="s">
        <v>151</v>
      </c>
      <c r="O100" s="38" t="s">
        <v>151</v>
      </c>
      <c r="P100" s="38" t="s">
        <v>151</v>
      </c>
      <c r="Q100" s="38" t="s">
        <v>151</v>
      </c>
      <c r="R100" s="38" t="s">
        <v>151</v>
      </c>
      <c r="S100" s="38" t="s">
        <v>151</v>
      </c>
      <c r="T100" s="38" t="s">
        <v>151</v>
      </c>
      <c r="U100" s="38" t="s">
        <v>151</v>
      </c>
      <c r="V100" s="38" t="s">
        <v>151</v>
      </c>
      <c r="W100" s="38" t="s">
        <v>151</v>
      </c>
      <c r="X100" s="38" t="s">
        <v>151</v>
      </c>
      <c r="Y100" s="38" t="s">
        <v>151</v>
      </c>
      <c r="Z100" s="38" t="s">
        <v>151</v>
      </c>
      <c r="AA100" s="38" t="s">
        <v>151</v>
      </c>
      <c r="AB100" s="38" t="s">
        <v>151</v>
      </c>
      <c r="AC100" s="38" t="s">
        <v>151</v>
      </c>
      <c r="AD100" s="38" t="s">
        <v>151</v>
      </c>
      <c r="AE100" s="38" t="s">
        <v>151</v>
      </c>
      <c r="AF100" s="38" t="s">
        <v>151</v>
      </c>
      <c r="AG100" s="38" t="s">
        <v>151</v>
      </c>
      <c r="AH100" s="38" t="s">
        <v>151</v>
      </c>
      <c r="AI100" s="38" t="s">
        <v>151</v>
      </c>
      <c r="AJ100" s="38" t="s">
        <v>151</v>
      </c>
      <c r="AK100" s="45" t="s">
        <v>190</v>
      </c>
      <c r="AL100" s="38" t="s">
        <v>151</v>
      </c>
      <c r="AM100" s="38" t="s">
        <v>151</v>
      </c>
      <c r="AN100" s="38" t="s">
        <v>151</v>
      </c>
      <c r="AO100" s="38" t="s">
        <v>151</v>
      </c>
      <c r="AP100" s="38" t="s">
        <v>151</v>
      </c>
      <c r="AQ100" s="38" t="s">
        <v>151</v>
      </c>
      <c r="AR100" s="38" t="s">
        <v>151</v>
      </c>
    </row>
    <row r="101">
      <c r="A101" s="1" t="str">
        <f>IFERROR(__xludf.DUMMYFUNCTION("""COMPUTED_VALUE"""),"Medusa")</f>
        <v>Medusa</v>
      </c>
      <c r="B101" s="38" t="s">
        <v>151</v>
      </c>
      <c r="C101" s="38" t="s">
        <v>151</v>
      </c>
      <c r="D101" s="38" t="s">
        <v>151</v>
      </c>
      <c r="E101" s="38" t="s">
        <v>151</v>
      </c>
      <c r="F101" s="38" t="s">
        <v>151</v>
      </c>
      <c r="G101" s="38" t="s">
        <v>151</v>
      </c>
      <c r="H101" s="38" t="s">
        <v>151</v>
      </c>
      <c r="I101" s="38" t="s">
        <v>151</v>
      </c>
      <c r="J101" s="38" t="s">
        <v>151</v>
      </c>
      <c r="K101" s="38" t="s">
        <v>151</v>
      </c>
      <c r="L101" s="38" t="s">
        <v>151</v>
      </c>
      <c r="M101" s="38" t="s">
        <v>151</v>
      </c>
      <c r="N101" s="38" t="s">
        <v>151</v>
      </c>
      <c r="O101" s="38" t="s">
        <v>151</v>
      </c>
      <c r="P101" s="38" t="s">
        <v>151</v>
      </c>
      <c r="Q101" s="38" t="s">
        <v>151</v>
      </c>
      <c r="R101" s="38" t="s">
        <v>151</v>
      </c>
      <c r="S101" s="38" t="s">
        <v>151</v>
      </c>
      <c r="T101" s="38" t="s">
        <v>151</v>
      </c>
      <c r="U101" s="38" t="s">
        <v>151</v>
      </c>
      <c r="V101" s="38" t="s">
        <v>151</v>
      </c>
      <c r="W101" s="38" t="s">
        <v>151</v>
      </c>
      <c r="X101" s="38" t="s">
        <v>151</v>
      </c>
      <c r="Y101" s="38" t="s">
        <v>151</v>
      </c>
      <c r="Z101" s="38" t="s">
        <v>151</v>
      </c>
      <c r="AA101" s="38" t="s">
        <v>151</v>
      </c>
      <c r="AB101" s="45" t="s">
        <v>190</v>
      </c>
      <c r="AC101" s="38" t="s">
        <v>151</v>
      </c>
      <c r="AD101" s="38" t="s">
        <v>151</v>
      </c>
      <c r="AE101" s="38" t="s">
        <v>151</v>
      </c>
      <c r="AF101" s="38" t="s">
        <v>151</v>
      </c>
      <c r="AG101" s="38" t="s">
        <v>151</v>
      </c>
      <c r="AH101" s="38" t="s">
        <v>151</v>
      </c>
      <c r="AI101" s="38" t="s">
        <v>151</v>
      </c>
      <c r="AJ101" s="38" t="s">
        <v>151</v>
      </c>
      <c r="AK101" s="38" t="s">
        <v>151</v>
      </c>
      <c r="AL101" s="38" t="s">
        <v>151</v>
      </c>
      <c r="AM101" s="38" t="s">
        <v>151</v>
      </c>
      <c r="AN101" s="38" t="s">
        <v>151</v>
      </c>
      <c r="AO101" s="38" t="s">
        <v>151</v>
      </c>
      <c r="AP101" s="38" t="s">
        <v>151</v>
      </c>
      <c r="AQ101" s="38" t="s">
        <v>151</v>
      </c>
      <c r="AR101" s="38" t="s">
        <v>151</v>
      </c>
    </row>
    <row r="102">
      <c r="A102" s="1" t="str">
        <f>IFERROR(__xludf.DUMMYFUNCTION("""COMPUTED_VALUE"""),"Mephisto")</f>
        <v>Mephisto</v>
      </c>
      <c r="B102" s="38" t="s">
        <v>151</v>
      </c>
      <c r="C102" s="38" t="s">
        <v>151</v>
      </c>
      <c r="D102" s="38" t="s">
        <v>151</v>
      </c>
      <c r="E102" s="38" t="s">
        <v>151</v>
      </c>
      <c r="F102" s="45" t="s">
        <v>190</v>
      </c>
      <c r="G102" s="38" t="s">
        <v>151</v>
      </c>
      <c r="H102" s="45" t="s">
        <v>190</v>
      </c>
      <c r="I102" s="38" t="s">
        <v>151</v>
      </c>
      <c r="J102" s="38" t="s">
        <v>151</v>
      </c>
      <c r="K102" s="38" t="s">
        <v>151</v>
      </c>
      <c r="L102" s="38" t="s">
        <v>151</v>
      </c>
      <c r="M102" s="38" t="s">
        <v>151</v>
      </c>
      <c r="N102" s="38" t="s">
        <v>151</v>
      </c>
      <c r="O102" s="38" t="s">
        <v>151</v>
      </c>
      <c r="P102" s="38" t="s">
        <v>151</v>
      </c>
      <c r="Q102" s="38" t="s">
        <v>151</v>
      </c>
      <c r="R102" s="45" t="s">
        <v>190</v>
      </c>
      <c r="S102" s="38" t="s">
        <v>151</v>
      </c>
      <c r="T102" s="38" t="s">
        <v>151</v>
      </c>
      <c r="U102" s="38" t="s">
        <v>151</v>
      </c>
      <c r="V102" s="38" t="s">
        <v>151</v>
      </c>
      <c r="W102" s="38" t="s">
        <v>151</v>
      </c>
      <c r="X102" s="38" t="s">
        <v>151</v>
      </c>
      <c r="Y102" s="38" t="s">
        <v>151</v>
      </c>
      <c r="Z102" s="38" t="s">
        <v>151</v>
      </c>
      <c r="AA102" s="38" t="s">
        <v>151</v>
      </c>
      <c r="AB102" s="45" t="s">
        <v>190</v>
      </c>
      <c r="AC102" s="38" t="s">
        <v>151</v>
      </c>
      <c r="AD102" s="38" t="s">
        <v>151</v>
      </c>
      <c r="AE102" s="38" t="s">
        <v>151</v>
      </c>
      <c r="AF102" s="38" t="s">
        <v>151</v>
      </c>
      <c r="AG102" s="38" t="s">
        <v>151</v>
      </c>
      <c r="AH102" s="38" t="s">
        <v>151</v>
      </c>
      <c r="AI102" s="38" t="s">
        <v>151</v>
      </c>
      <c r="AJ102" s="38" t="s">
        <v>151</v>
      </c>
      <c r="AK102" s="38" t="s">
        <v>151</v>
      </c>
      <c r="AL102" s="38" t="s">
        <v>151</v>
      </c>
      <c r="AM102" s="38" t="s">
        <v>151</v>
      </c>
      <c r="AN102" s="38" t="s">
        <v>151</v>
      </c>
      <c r="AO102" s="38" t="s">
        <v>151</v>
      </c>
      <c r="AP102" s="38" t="s">
        <v>151</v>
      </c>
      <c r="AQ102" s="38" t="s">
        <v>151</v>
      </c>
      <c r="AR102" s="38" t="s">
        <v>151</v>
      </c>
    </row>
    <row r="103">
      <c r="A103" s="1" t="str">
        <f>IFERROR(__xludf.DUMMYFUNCTION("""COMPUTED_VALUE"""),"Mister Negative")</f>
        <v>Mister Negative</v>
      </c>
      <c r="B103" s="38" t="s">
        <v>151</v>
      </c>
      <c r="C103" s="38" t="s">
        <v>151</v>
      </c>
      <c r="D103" s="38" t="s">
        <v>151</v>
      </c>
      <c r="E103" s="38" t="s">
        <v>151</v>
      </c>
      <c r="F103" s="38" t="s">
        <v>151</v>
      </c>
      <c r="G103" s="38" t="s">
        <v>151</v>
      </c>
      <c r="H103" s="38" t="s">
        <v>151</v>
      </c>
      <c r="I103" s="38" t="s">
        <v>151</v>
      </c>
      <c r="J103" s="38" t="s">
        <v>151</v>
      </c>
      <c r="K103" s="38" t="s">
        <v>151</v>
      </c>
      <c r="L103" s="38" t="s">
        <v>151</v>
      </c>
      <c r="M103" s="38" t="s">
        <v>151</v>
      </c>
      <c r="N103" s="38" t="s">
        <v>151</v>
      </c>
      <c r="O103" s="38" t="s">
        <v>151</v>
      </c>
      <c r="P103" s="45" t="s">
        <v>190</v>
      </c>
      <c r="Q103" s="38" t="s">
        <v>151</v>
      </c>
      <c r="R103" s="38" t="s">
        <v>151</v>
      </c>
      <c r="S103" s="38" t="s">
        <v>151</v>
      </c>
      <c r="T103" s="38" t="s">
        <v>151</v>
      </c>
      <c r="U103" s="38" t="s">
        <v>151</v>
      </c>
      <c r="V103" s="38" t="s">
        <v>151</v>
      </c>
      <c r="W103" s="38" t="s">
        <v>151</v>
      </c>
      <c r="X103" s="38" t="s">
        <v>151</v>
      </c>
      <c r="Y103" s="38" t="s">
        <v>151</v>
      </c>
      <c r="Z103" s="45" t="s">
        <v>190</v>
      </c>
      <c r="AA103" s="38" t="s">
        <v>151</v>
      </c>
      <c r="AB103" s="38" t="s">
        <v>151</v>
      </c>
      <c r="AC103" s="38" t="s">
        <v>151</v>
      </c>
      <c r="AD103" s="38" t="s">
        <v>151</v>
      </c>
      <c r="AE103" s="38" t="s">
        <v>151</v>
      </c>
      <c r="AF103" s="38" t="s">
        <v>151</v>
      </c>
      <c r="AG103" s="38" t="s">
        <v>151</v>
      </c>
      <c r="AH103" s="38" t="s">
        <v>151</v>
      </c>
      <c r="AI103" s="38" t="s">
        <v>151</v>
      </c>
      <c r="AJ103" s="38" t="s">
        <v>151</v>
      </c>
      <c r="AK103" s="38" t="s">
        <v>151</v>
      </c>
      <c r="AL103" s="38" t="s">
        <v>151</v>
      </c>
      <c r="AM103" s="38" t="s">
        <v>151</v>
      </c>
      <c r="AN103" s="38" t="s">
        <v>151</v>
      </c>
      <c r="AO103" s="45" t="s">
        <v>190</v>
      </c>
      <c r="AP103" s="38" t="s">
        <v>151</v>
      </c>
      <c r="AQ103" s="38" t="s">
        <v>151</v>
      </c>
      <c r="AR103" s="38" t="s">
        <v>151</v>
      </c>
    </row>
    <row r="104">
      <c r="A104" s="1" t="str">
        <f>IFERROR(__xludf.DUMMYFUNCTION("""COMPUTED_VALUE"""),"Mister Sinister")</f>
        <v>Mister Sinister</v>
      </c>
      <c r="B104" s="38" t="s">
        <v>151</v>
      </c>
      <c r="C104" s="38" t="s">
        <v>151</v>
      </c>
      <c r="D104" s="38" t="s">
        <v>151</v>
      </c>
      <c r="E104" s="38" t="s">
        <v>151</v>
      </c>
      <c r="F104" s="38" t="s">
        <v>151</v>
      </c>
      <c r="G104" s="38" t="s">
        <v>151</v>
      </c>
      <c r="H104" s="38" t="s">
        <v>151</v>
      </c>
      <c r="I104" s="38" t="s">
        <v>151</v>
      </c>
      <c r="J104" s="38" t="s">
        <v>151</v>
      </c>
      <c r="K104" s="38" t="s">
        <v>151</v>
      </c>
      <c r="L104" s="38" t="s">
        <v>151</v>
      </c>
      <c r="M104" s="38" t="s">
        <v>151</v>
      </c>
      <c r="N104" s="38" t="s">
        <v>151</v>
      </c>
      <c r="O104" s="38" t="s">
        <v>151</v>
      </c>
      <c r="P104" s="38" t="s">
        <v>151</v>
      </c>
      <c r="Q104" s="38" t="s">
        <v>151</v>
      </c>
      <c r="R104" s="38" t="s">
        <v>151</v>
      </c>
      <c r="S104" s="38" t="s">
        <v>151</v>
      </c>
      <c r="T104" s="38" t="s">
        <v>151</v>
      </c>
      <c r="U104" s="38" t="s">
        <v>151</v>
      </c>
      <c r="V104" s="38" t="s">
        <v>151</v>
      </c>
      <c r="W104" s="38" t="s">
        <v>151</v>
      </c>
      <c r="X104" s="38" t="s">
        <v>151</v>
      </c>
      <c r="Y104" s="38" t="s">
        <v>151</v>
      </c>
      <c r="Z104" s="38" t="s">
        <v>151</v>
      </c>
      <c r="AA104" s="38" t="s">
        <v>151</v>
      </c>
      <c r="AB104" s="38" t="s">
        <v>151</v>
      </c>
      <c r="AC104" s="38" t="s">
        <v>151</v>
      </c>
      <c r="AD104" s="38" t="s">
        <v>151</v>
      </c>
      <c r="AE104" s="38" t="s">
        <v>151</v>
      </c>
      <c r="AF104" s="38" t="s">
        <v>151</v>
      </c>
      <c r="AG104" s="38" t="s">
        <v>151</v>
      </c>
      <c r="AH104" s="38" t="s">
        <v>151</v>
      </c>
      <c r="AI104" s="45" t="s">
        <v>190</v>
      </c>
      <c r="AJ104" s="38" t="s">
        <v>151</v>
      </c>
      <c r="AK104" s="38" t="s">
        <v>151</v>
      </c>
      <c r="AL104" s="38" t="s">
        <v>151</v>
      </c>
      <c r="AM104" s="38" t="s">
        <v>151</v>
      </c>
      <c r="AN104" s="38" t="s">
        <v>151</v>
      </c>
      <c r="AO104" s="38" t="s">
        <v>151</v>
      </c>
      <c r="AP104" s="38" t="s">
        <v>151</v>
      </c>
      <c r="AQ104" s="45" t="s">
        <v>190</v>
      </c>
      <c r="AR104" s="38" t="s">
        <v>151</v>
      </c>
    </row>
    <row r="105">
      <c r="A105" s="1" t="str">
        <f>IFERROR(__xludf.DUMMYFUNCTION("""COMPUTED_VALUE"""),"Mole Man")</f>
        <v>Mole Man</v>
      </c>
      <c r="B105" s="38" t="s">
        <v>151</v>
      </c>
      <c r="C105" s="38" t="s">
        <v>151</v>
      </c>
      <c r="D105" s="38" t="s">
        <v>151</v>
      </c>
      <c r="E105" s="38" t="s">
        <v>151</v>
      </c>
      <c r="F105" s="38" t="s">
        <v>151</v>
      </c>
      <c r="G105" s="38" t="s">
        <v>151</v>
      </c>
      <c r="H105" s="38" t="s">
        <v>151</v>
      </c>
      <c r="I105" s="38" t="s">
        <v>151</v>
      </c>
      <c r="J105" s="38" t="s">
        <v>151</v>
      </c>
      <c r="K105" s="38" t="s">
        <v>151</v>
      </c>
      <c r="L105" s="38" t="s">
        <v>151</v>
      </c>
      <c r="M105" s="38" t="s">
        <v>151</v>
      </c>
      <c r="N105" s="38" t="s">
        <v>151</v>
      </c>
      <c r="O105" s="38" t="s">
        <v>151</v>
      </c>
      <c r="P105" s="38" t="s">
        <v>151</v>
      </c>
      <c r="Q105" s="38" t="s">
        <v>151</v>
      </c>
      <c r="R105" s="38" t="s">
        <v>151</v>
      </c>
      <c r="S105" s="38" t="s">
        <v>151</v>
      </c>
      <c r="T105" s="38" t="s">
        <v>151</v>
      </c>
      <c r="U105" s="38" t="s">
        <v>151</v>
      </c>
      <c r="V105" s="38" t="s">
        <v>151</v>
      </c>
      <c r="W105" s="38" t="s">
        <v>151</v>
      </c>
      <c r="X105" s="38" t="s">
        <v>151</v>
      </c>
      <c r="Y105" s="38" t="s">
        <v>151</v>
      </c>
      <c r="Z105" s="38" t="s">
        <v>151</v>
      </c>
      <c r="AA105" s="38" t="s">
        <v>151</v>
      </c>
      <c r="AB105" s="38" t="s">
        <v>151</v>
      </c>
      <c r="AC105" s="38" t="s">
        <v>151</v>
      </c>
      <c r="AD105" s="38" t="s">
        <v>151</v>
      </c>
      <c r="AE105" s="38" t="s">
        <v>151</v>
      </c>
      <c r="AF105" s="38" t="s">
        <v>151</v>
      </c>
      <c r="AG105" s="38" t="s">
        <v>151</v>
      </c>
      <c r="AH105" s="38" t="s">
        <v>151</v>
      </c>
      <c r="AI105" s="38" t="s">
        <v>151</v>
      </c>
      <c r="AJ105" s="38" t="s">
        <v>151</v>
      </c>
      <c r="AK105" s="45" t="s">
        <v>190</v>
      </c>
      <c r="AL105" s="38" t="s">
        <v>151</v>
      </c>
      <c r="AM105" s="38" t="s">
        <v>151</v>
      </c>
      <c r="AN105" s="38" t="s">
        <v>151</v>
      </c>
      <c r="AO105" s="38" t="s">
        <v>151</v>
      </c>
      <c r="AP105" s="38" t="s">
        <v>151</v>
      </c>
      <c r="AQ105" s="38" t="s">
        <v>151</v>
      </c>
      <c r="AR105" s="38" t="s">
        <v>151</v>
      </c>
    </row>
    <row r="106">
      <c r="A106" s="1" t="str">
        <f>IFERROR(__xludf.DUMMYFUNCTION("""COMPUTED_VALUE"""),"Moondragon")</f>
        <v>Moondragon</v>
      </c>
      <c r="B106" s="38" t="s">
        <v>151</v>
      </c>
      <c r="C106" s="38" t="s">
        <v>151</v>
      </c>
      <c r="D106" s="38" t="s">
        <v>151</v>
      </c>
      <c r="E106" s="38" t="s">
        <v>151</v>
      </c>
      <c r="F106" s="38" t="s">
        <v>151</v>
      </c>
      <c r="G106" s="38" t="s">
        <v>151</v>
      </c>
      <c r="H106" s="38" t="s">
        <v>151</v>
      </c>
      <c r="I106" s="38" t="s">
        <v>151</v>
      </c>
      <c r="J106" s="38" t="s">
        <v>151</v>
      </c>
      <c r="K106" s="45" t="s">
        <v>190</v>
      </c>
      <c r="L106" s="38" t="s">
        <v>151</v>
      </c>
      <c r="M106" s="38" t="s">
        <v>151</v>
      </c>
      <c r="N106" s="38" t="s">
        <v>151</v>
      </c>
      <c r="O106" s="38" t="s">
        <v>151</v>
      </c>
      <c r="P106" s="38" t="s">
        <v>151</v>
      </c>
      <c r="Q106" s="38" t="s">
        <v>151</v>
      </c>
      <c r="R106" s="38" t="s">
        <v>151</v>
      </c>
      <c r="S106" s="38" t="s">
        <v>151</v>
      </c>
      <c r="T106" s="38" t="s">
        <v>151</v>
      </c>
      <c r="U106" s="38" t="s">
        <v>151</v>
      </c>
      <c r="V106" s="38" t="s">
        <v>151</v>
      </c>
      <c r="W106" s="38" t="s">
        <v>151</v>
      </c>
      <c r="X106" s="38" t="s">
        <v>151</v>
      </c>
      <c r="Y106" s="38" t="s">
        <v>151</v>
      </c>
      <c r="Z106" s="38" t="s">
        <v>151</v>
      </c>
      <c r="AA106" s="38" t="s">
        <v>151</v>
      </c>
      <c r="AB106" s="38" t="s">
        <v>151</v>
      </c>
      <c r="AC106" s="38" t="s">
        <v>151</v>
      </c>
      <c r="AD106" s="38" t="s">
        <v>151</v>
      </c>
      <c r="AE106" s="38" t="s">
        <v>151</v>
      </c>
      <c r="AF106" s="38" t="s">
        <v>151</v>
      </c>
      <c r="AG106" s="38" t="s">
        <v>151</v>
      </c>
      <c r="AH106" s="38" t="s">
        <v>151</v>
      </c>
      <c r="AI106" s="45" t="s">
        <v>190</v>
      </c>
      <c r="AJ106" s="38" t="s">
        <v>151</v>
      </c>
      <c r="AK106" s="38" t="s">
        <v>151</v>
      </c>
      <c r="AL106" s="38" t="s">
        <v>151</v>
      </c>
      <c r="AM106" s="38" t="s">
        <v>151</v>
      </c>
      <c r="AN106" s="38" t="s">
        <v>151</v>
      </c>
      <c r="AO106" s="38" t="s">
        <v>151</v>
      </c>
      <c r="AP106" s="38" t="s">
        <v>151</v>
      </c>
      <c r="AQ106" s="38" t="s">
        <v>151</v>
      </c>
      <c r="AR106" s="38" t="s">
        <v>151</v>
      </c>
    </row>
    <row r="107">
      <c r="A107" s="1" t="str">
        <f>IFERROR(__xludf.DUMMYFUNCTION("""COMPUTED_VALUE"""),"Mordo")</f>
        <v>Mordo</v>
      </c>
      <c r="B107" s="45" t="s">
        <v>190</v>
      </c>
      <c r="C107" s="38" t="s">
        <v>151</v>
      </c>
      <c r="D107" s="38" t="s">
        <v>151</v>
      </c>
      <c r="E107" s="38" t="s">
        <v>151</v>
      </c>
      <c r="F107" s="38" t="s">
        <v>151</v>
      </c>
      <c r="G107" s="38" t="s">
        <v>151</v>
      </c>
      <c r="H107" s="38" t="s">
        <v>151</v>
      </c>
      <c r="I107" s="38" t="s">
        <v>151</v>
      </c>
      <c r="J107" s="38" t="s">
        <v>151</v>
      </c>
      <c r="K107" s="38" t="s">
        <v>151</v>
      </c>
      <c r="L107" s="38" t="s">
        <v>151</v>
      </c>
      <c r="M107" s="38" t="s">
        <v>151</v>
      </c>
      <c r="N107" s="38" t="s">
        <v>151</v>
      </c>
      <c r="O107" s="38" t="s">
        <v>151</v>
      </c>
      <c r="P107" s="45" t="s">
        <v>190</v>
      </c>
      <c r="Q107" s="38" t="s">
        <v>151</v>
      </c>
      <c r="R107" s="38" t="s">
        <v>151</v>
      </c>
      <c r="S107" s="38" t="s">
        <v>151</v>
      </c>
      <c r="T107" s="38" t="s">
        <v>151</v>
      </c>
      <c r="U107" s="38" t="s">
        <v>151</v>
      </c>
      <c r="V107" s="38" t="s">
        <v>151</v>
      </c>
      <c r="W107" s="38" t="s">
        <v>151</v>
      </c>
      <c r="X107" s="38" t="s">
        <v>151</v>
      </c>
      <c r="Y107" s="38" t="s">
        <v>151</v>
      </c>
      <c r="Z107" s="45" t="s">
        <v>190</v>
      </c>
      <c r="AA107" s="38" t="s">
        <v>151</v>
      </c>
      <c r="AB107" s="38" t="s">
        <v>151</v>
      </c>
      <c r="AC107" s="38" t="s">
        <v>151</v>
      </c>
      <c r="AD107" s="38" t="s">
        <v>151</v>
      </c>
      <c r="AE107" s="38" t="s">
        <v>151</v>
      </c>
      <c r="AF107" s="38" t="s">
        <v>151</v>
      </c>
      <c r="AG107" s="38" t="s">
        <v>151</v>
      </c>
      <c r="AH107" s="38" t="s">
        <v>151</v>
      </c>
      <c r="AI107" s="38" t="s">
        <v>151</v>
      </c>
      <c r="AJ107" s="38" t="s">
        <v>151</v>
      </c>
      <c r="AK107" s="38" t="s">
        <v>151</v>
      </c>
      <c r="AL107" s="38" t="s">
        <v>151</v>
      </c>
      <c r="AM107" s="38" t="s">
        <v>151</v>
      </c>
      <c r="AN107" s="38" t="s">
        <v>151</v>
      </c>
      <c r="AO107" s="38" t="s">
        <v>151</v>
      </c>
      <c r="AP107" s="38" t="s">
        <v>151</v>
      </c>
      <c r="AQ107" s="38" t="s">
        <v>151</v>
      </c>
      <c r="AR107" s="38" t="s">
        <v>151</v>
      </c>
    </row>
    <row r="108">
      <c r="A108" s="1" t="str">
        <f>IFERROR(__xludf.DUMMYFUNCTION("""COMPUTED_VALUE"""),"Morningstar")</f>
        <v>Morningstar</v>
      </c>
      <c r="B108" s="38" t="s">
        <v>151</v>
      </c>
      <c r="C108" s="38" t="s">
        <v>151</v>
      </c>
      <c r="D108" s="38" t="s">
        <v>151</v>
      </c>
      <c r="E108" s="38" t="s">
        <v>151</v>
      </c>
      <c r="F108" s="45" t="s">
        <v>190</v>
      </c>
      <c r="G108" s="38" t="s">
        <v>151</v>
      </c>
      <c r="H108" s="38" t="s">
        <v>151</v>
      </c>
      <c r="I108" s="38" t="s">
        <v>151</v>
      </c>
      <c r="J108" s="38" t="s">
        <v>151</v>
      </c>
      <c r="K108" s="38" t="s">
        <v>151</v>
      </c>
      <c r="L108" s="38" t="s">
        <v>151</v>
      </c>
      <c r="M108" s="38" t="s">
        <v>151</v>
      </c>
      <c r="N108" s="38" t="s">
        <v>151</v>
      </c>
      <c r="O108" s="38" t="s">
        <v>151</v>
      </c>
      <c r="P108" s="38" t="s">
        <v>151</v>
      </c>
      <c r="Q108" s="38" t="s">
        <v>151</v>
      </c>
      <c r="R108" s="38" t="s">
        <v>151</v>
      </c>
      <c r="S108" s="38" t="s">
        <v>151</v>
      </c>
      <c r="T108" s="38" t="s">
        <v>151</v>
      </c>
      <c r="U108" s="38" t="s">
        <v>151</v>
      </c>
      <c r="V108" s="38" t="s">
        <v>151</v>
      </c>
      <c r="W108" s="38" t="s">
        <v>151</v>
      </c>
      <c r="X108" s="38" t="s">
        <v>151</v>
      </c>
      <c r="Y108" s="38" t="s">
        <v>151</v>
      </c>
      <c r="Z108" s="38" t="s">
        <v>151</v>
      </c>
      <c r="AA108" s="38" t="s">
        <v>151</v>
      </c>
      <c r="AB108" s="38" t="s">
        <v>151</v>
      </c>
      <c r="AC108" s="38" t="s">
        <v>151</v>
      </c>
      <c r="AD108" s="38" t="s">
        <v>151</v>
      </c>
      <c r="AE108" s="38" t="s">
        <v>151</v>
      </c>
      <c r="AF108" s="38" t="s">
        <v>151</v>
      </c>
      <c r="AG108" s="38" t="s">
        <v>151</v>
      </c>
      <c r="AH108" s="38" t="s">
        <v>151</v>
      </c>
      <c r="AI108" s="38" t="s">
        <v>151</v>
      </c>
      <c r="AJ108" s="38" t="s">
        <v>151</v>
      </c>
      <c r="AK108" s="38" t="s">
        <v>151</v>
      </c>
      <c r="AL108" s="38" t="s">
        <v>151</v>
      </c>
      <c r="AM108" s="38" t="s">
        <v>151</v>
      </c>
      <c r="AN108" s="38" t="s">
        <v>151</v>
      </c>
      <c r="AO108" s="38" t="s">
        <v>151</v>
      </c>
      <c r="AP108" s="38" t="s">
        <v>151</v>
      </c>
      <c r="AQ108" s="38" t="s">
        <v>151</v>
      </c>
      <c r="AR108" s="38" t="s">
        <v>151</v>
      </c>
    </row>
    <row r="109">
      <c r="A109" s="1" t="str">
        <f>IFERROR(__xludf.DUMMYFUNCTION("""COMPUTED_VALUE"""),"Ms. Marvel")</f>
        <v>Ms. Marvel</v>
      </c>
      <c r="B109" s="38" t="s">
        <v>151</v>
      </c>
      <c r="C109" s="38" t="s">
        <v>151</v>
      </c>
      <c r="D109" s="38" t="s">
        <v>151</v>
      </c>
      <c r="E109" s="38" t="s">
        <v>151</v>
      </c>
      <c r="F109" s="38" t="s">
        <v>151</v>
      </c>
      <c r="G109" s="38" t="s">
        <v>151</v>
      </c>
      <c r="H109" s="38" t="s">
        <v>151</v>
      </c>
      <c r="I109" s="38" t="s">
        <v>151</v>
      </c>
      <c r="J109" s="38" t="s">
        <v>151</v>
      </c>
      <c r="K109" s="38" t="s">
        <v>151</v>
      </c>
      <c r="L109" s="38" t="s">
        <v>151</v>
      </c>
      <c r="M109" s="38" t="s">
        <v>151</v>
      </c>
      <c r="N109" s="38" t="s">
        <v>151</v>
      </c>
      <c r="O109" s="38" t="s">
        <v>151</v>
      </c>
      <c r="P109" s="38" t="s">
        <v>151</v>
      </c>
      <c r="Q109" s="38" t="s">
        <v>151</v>
      </c>
      <c r="R109" s="38" t="s">
        <v>151</v>
      </c>
      <c r="S109" s="38" t="s">
        <v>151</v>
      </c>
      <c r="T109" s="38" t="s">
        <v>151</v>
      </c>
      <c r="U109" s="38" t="s">
        <v>151</v>
      </c>
      <c r="V109" s="38" t="s">
        <v>151</v>
      </c>
      <c r="W109" s="38" t="s">
        <v>151</v>
      </c>
      <c r="X109" s="38" t="s">
        <v>151</v>
      </c>
      <c r="Y109" s="38" t="s">
        <v>151</v>
      </c>
      <c r="Z109" s="38" t="s">
        <v>151</v>
      </c>
      <c r="AA109" s="38" t="s">
        <v>151</v>
      </c>
      <c r="AB109" s="45" t="s">
        <v>190</v>
      </c>
      <c r="AC109" s="38" t="s">
        <v>151</v>
      </c>
      <c r="AD109" s="38" t="s">
        <v>151</v>
      </c>
      <c r="AE109" s="38" t="s">
        <v>151</v>
      </c>
      <c r="AF109" s="38" t="s">
        <v>151</v>
      </c>
      <c r="AG109" s="38" t="s">
        <v>151</v>
      </c>
      <c r="AH109" s="38" t="s">
        <v>151</v>
      </c>
      <c r="AI109" s="38" t="s">
        <v>151</v>
      </c>
      <c r="AJ109" s="38" t="s">
        <v>151</v>
      </c>
      <c r="AK109" s="38" t="s">
        <v>151</v>
      </c>
      <c r="AL109" s="38" t="s">
        <v>151</v>
      </c>
      <c r="AM109" s="38" t="s">
        <v>151</v>
      </c>
      <c r="AN109" s="38" t="s">
        <v>151</v>
      </c>
      <c r="AO109" s="38" t="s">
        <v>151</v>
      </c>
      <c r="AP109" s="38" t="s">
        <v>151</v>
      </c>
      <c r="AQ109" s="38" t="s">
        <v>151</v>
      </c>
      <c r="AR109" s="38" t="s">
        <v>151</v>
      </c>
    </row>
    <row r="110">
      <c r="A110" s="1" t="str">
        <f>IFERROR(__xludf.DUMMYFUNCTION("""COMPUTED_VALUE"""),"Ms. Marvel (Kamala Khan)")</f>
        <v>Ms. Marvel (Kamala Khan)</v>
      </c>
      <c r="B110" s="38" t="s">
        <v>151</v>
      </c>
      <c r="C110" s="38" t="s">
        <v>151</v>
      </c>
      <c r="D110" s="38" t="s">
        <v>151</v>
      </c>
      <c r="E110" s="38" t="s">
        <v>151</v>
      </c>
      <c r="F110" s="38" t="s">
        <v>151</v>
      </c>
      <c r="G110" s="38" t="s">
        <v>151</v>
      </c>
      <c r="H110" s="38" t="s">
        <v>151</v>
      </c>
      <c r="I110" s="38" t="s">
        <v>151</v>
      </c>
      <c r="J110" s="38" t="s">
        <v>151</v>
      </c>
      <c r="K110" s="38" t="s">
        <v>151</v>
      </c>
      <c r="L110" s="38" t="s">
        <v>151</v>
      </c>
      <c r="M110" s="38" t="s">
        <v>151</v>
      </c>
      <c r="N110" s="38" t="s">
        <v>151</v>
      </c>
      <c r="O110" s="38" t="s">
        <v>151</v>
      </c>
      <c r="P110" s="38" t="s">
        <v>151</v>
      </c>
      <c r="Q110" s="38" t="s">
        <v>151</v>
      </c>
      <c r="R110" s="38" t="s">
        <v>151</v>
      </c>
      <c r="S110" s="38" t="s">
        <v>151</v>
      </c>
      <c r="T110" s="38" t="s">
        <v>151</v>
      </c>
      <c r="U110" s="38" t="s">
        <v>151</v>
      </c>
      <c r="V110" s="38" t="s">
        <v>151</v>
      </c>
      <c r="W110" s="38" t="s">
        <v>151</v>
      </c>
      <c r="X110" s="38" t="s">
        <v>151</v>
      </c>
      <c r="Y110" s="38" t="s">
        <v>151</v>
      </c>
      <c r="Z110" s="38" t="s">
        <v>151</v>
      </c>
      <c r="AA110" s="38" t="s">
        <v>151</v>
      </c>
      <c r="AB110" s="45" t="s">
        <v>190</v>
      </c>
      <c r="AC110" s="38" t="s">
        <v>151</v>
      </c>
      <c r="AD110" s="38" t="s">
        <v>151</v>
      </c>
      <c r="AE110" s="38" t="s">
        <v>151</v>
      </c>
      <c r="AF110" s="38" t="s">
        <v>151</v>
      </c>
      <c r="AG110" s="38" t="s">
        <v>151</v>
      </c>
      <c r="AH110" s="38" t="s">
        <v>151</v>
      </c>
      <c r="AI110" s="38" t="s">
        <v>151</v>
      </c>
      <c r="AJ110" s="38" t="s">
        <v>151</v>
      </c>
      <c r="AK110" s="38" t="s">
        <v>151</v>
      </c>
      <c r="AL110" s="38" t="s">
        <v>151</v>
      </c>
      <c r="AM110" s="38" t="s">
        <v>151</v>
      </c>
      <c r="AN110" s="38" t="s">
        <v>151</v>
      </c>
      <c r="AO110" s="38" t="s">
        <v>151</v>
      </c>
      <c r="AP110" s="38" t="s">
        <v>151</v>
      </c>
      <c r="AQ110" s="38" t="s">
        <v>151</v>
      </c>
      <c r="AR110" s="38" t="s">
        <v>151</v>
      </c>
    </row>
    <row r="111">
      <c r="A111" s="1" t="str">
        <f>IFERROR(__xludf.DUMMYFUNCTION("""COMPUTED_VALUE"""),"Mysterio")</f>
        <v>Mysterio</v>
      </c>
      <c r="B111" s="45" t="s">
        <v>190</v>
      </c>
      <c r="C111" s="38" t="s">
        <v>151</v>
      </c>
      <c r="D111" s="38" t="s">
        <v>151</v>
      </c>
      <c r="E111" s="38" t="s">
        <v>151</v>
      </c>
      <c r="F111" s="38" t="s">
        <v>151</v>
      </c>
      <c r="G111" s="38" t="s">
        <v>151</v>
      </c>
      <c r="H111" s="38" t="s">
        <v>151</v>
      </c>
      <c r="I111" s="38" t="s">
        <v>151</v>
      </c>
      <c r="J111" s="38" t="s">
        <v>151</v>
      </c>
      <c r="K111" s="38" t="s">
        <v>151</v>
      </c>
      <c r="L111" s="38" t="s">
        <v>151</v>
      </c>
      <c r="M111" s="38" t="s">
        <v>151</v>
      </c>
      <c r="N111" s="38" t="s">
        <v>151</v>
      </c>
      <c r="O111" s="38" t="s">
        <v>151</v>
      </c>
      <c r="P111" s="38" t="s">
        <v>151</v>
      </c>
      <c r="Q111" s="38" t="s">
        <v>151</v>
      </c>
      <c r="R111" s="38" t="s">
        <v>151</v>
      </c>
      <c r="S111" s="38" t="s">
        <v>151</v>
      </c>
      <c r="T111" s="38" t="s">
        <v>151</v>
      </c>
      <c r="U111" s="38" t="s">
        <v>151</v>
      </c>
      <c r="V111" s="38" t="s">
        <v>151</v>
      </c>
      <c r="W111" s="38" t="s">
        <v>151</v>
      </c>
      <c r="X111" s="38" t="s">
        <v>151</v>
      </c>
      <c r="Y111" s="38" t="s">
        <v>151</v>
      </c>
      <c r="Z111" s="38" t="s">
        <v>151</v>
      </c>
      <c r="AA111" s="38" t="s">
        <v>151</v>
      </c>
      <c r="AB111" s="38" t="s">
        <v>151</v>
      </c>
      <c r="AC111" s="38" t="s">
        <v>151</v>
      </c>
      <c r="AD111" s="38" t="s">
        <v>151</v>
      </c>
      <c r="AE111" s="38" t="s">
        <v>151</v>
      </c>
      <c r="AF111" s="38" t="s">
        <v>151</v>
      </c>
      <c r="AG111" s="38" t="s">
        <v>151</v>
      </c>
      <c r="AH111" s="38" t="s">
        <v>151</v>
      </c>
      <c r="AI111" s="45" t="s">
        <v>190</v>
      </c>
      <c r="AJ111" s="38" t="s">
        <v>151</v>
      </c>
      <c r="AK111" s="38" t="s">
        <v>151</v>
      </c>
      <c r="AL111" s="38" t="s">
        <v>151</v>
      </c>
      <c r="AM111" s="38" t="s">
        <v>151</v>
      </c>
      <c r="AN111" s="38" t="s">
        <v>151</v>
      </c>
      <c r="AO111" s="38" t="s">
        <v>151</v>
      </c>
      <c r="AP111" s="38" t="s">
        <v>151</v>
      </c>
      <c r="AQ111" s="38" t="s">
        <v>151</v>
      </c>
      <c r="AR111" s="38" t="s">
        <v>151</v>
      </c>
    </row>
    <row r="112">
      <c r="A112" s="1" t="str">
        <f>IFERROR(__xludf.DUMMYFUNCTION("""COMPUTED_VALUE"""),"Nebula")</f>
        <v>Nebula</v>
      </c>
      <c r="B112" s="38" t="s">
        <v>151</v>
      </c>
      <c r="C112" s="38" t="s">
        <v>151</v>
      </c>
      <c r="D112" s="38" t="s">
        <v>151</v>
      </c>
      <c r="E112" s="38" t="s">
        <v>151</v>
      </c>
      <c r="F112" s="45" t="s">
        <v>190</v>
      </c>
      <c r="G112" s="38" t="s">
        <v>151</v>
      </c>
      <c r="H112" s="38" t="s">
        <v>151</v>
      </c>
      <c r="I112" s="38" t="s">
        <v>151</v>
      </c>
      <c r="J112" s="38" t="s">
        <v>151</v>
      </c>
      <c r="K112" s="38" t="s">
        <v>151</v>
      </c>
      <c r="L112" s="38" t="s">
        <v>151</v>
      </c>
      <c r="M112" s="38" t="s">
        <v>151</v>
      </c>
      <c r="N112" s="38" t="s">
        <v>151</v>
      </c>
      <c r="O112" s="38" t="s">
        <v>151</v>
      </c>
      <c r="P112" s="38" t="s">
        <v>151</v>
      </c>
      <c r="Q112" s="38" t="s">
        <v>151</v>
      </c>
      <c r="R112" s="38" t="s">
        <v>151</v>
      </c>
      <c r="S112" s="38" t="s">
        <v>151</v>
      </c>
      <c r="T112" s="38" t="s">
        <v>151</v>
      </c>
      <c r="U112" s="38" t="s">
        <v>151</v>
      </c>
      <c r="V112" s="38" t="s">
        <v>151</v>
      </c>
      <c r="W112" s="38" t="s">
        <v>151</v>
      </c>
      <c r="X112" s="38" t="s">
        <v>151</v>
      </c>
      <c r="Y112" s="38" t="s">
        <v>151</v>
      </c>
      <c r="Z112" s="38" t="s">
        <v>151</v>
      </c>
      <c r="AA112" s="38" t="s">
        <v>151</v>
      </c>
      <c r="AB112" s="45" t="s">
        <v>190</v>
      </c>
      <c r="AC112" s="38" t="s">
        <v>151</v>
      </c>
      <c r="AD112" s="38" t="s">
        <v>151</v>
      </c>
      <c r="AE112" s="38" t="s">
        <v>151</v>
      </c>
      <c r="AF112" s="38" t="s">
        <v>151</v>
      </c>
      <c r="AG112" s="38" t="s">
        <v>151</v>
      </c>
      <c r="AH112" s="38" t="s">
        <v>151</v>
      </c>
      <c r="AI112" s="38" t="s">
        <v>151</v>
      </c>
      <c r="AJ112" s="38" t="s">
        <v>151</v>
      </c>
      <c r="AK112" s="45" t="s">
        <v>190</v>
      </c>
      <c r="AL112" s="38" t="s">
        <v>151</v>
      </c>
      <c r="AM112" s="38" t="s">
        <v>151</v>
      </c>
      <c r="AN112" s="38" t="s">
        <v>151</v>
      </c>
      <c r="AO112" s="38" t="s">
        <v>151</v>
      </c>
      <c r="AP112" s="38" t="s">
        <v>151</v>
      </c>
      <c r="AQ112" s="38" t="s">
        <v>151</v>
      </c>
      <c r="AR112" s="38" t="s">
        <v>151</v>
      </c>
    </row>
    <row r="113">
      <c r="A113" s="1" t="str">
        <f>IFERROR(__xludf.DUMMYFUNCTION("""COMPUTED_VALUE"""),"Nick Fury")</f>
        <v>Nick Fury</v>
      </c>
      <c r="B113" s="38" t="s">
        <v>151</v>
      </c>
      <c r="C113" s="38" t="s">
        <v>151</v>
      </c>
      <c r="D113" s="38" t="s">
        <v>151</v>
      </c>
      <c r="E113" s="38" t="s">
        <v>151</v>
      </c>
      <c r="F113" s="38" t="s">
        <v>151</v>
      </c>
      <c r="G113" s="38" t="s">
        <v>151</v>
      </c>
      <c r="H113" s="38" t="s">
        <v>151</v>
      </c>
      <c r="I113" s="38" t="s">
        <v>151</v>
      </c>
      <c r="J113" s="38" t="s">
        <v>151</v>
      </c>
      <c r="K113" s="38" t="s">
        <v>151</v>
      </c>
      <c r="L113" s="38" t="s">
        <v>151</v>
      </c>
      <c r="M113" s="38" t="s">
        <v>151</v>
      </c>
      <c r="N113" s="38" t="s">
        <v>151</v>
      </c>
      <c r="O113" s="38" t="s">
        <v>151</v>
      </c>
      <c r="P113" s="38" t="s">
        <v>151</v>
      </c>
      <c r="Q113" s="38" t="s">
        <v>151</v>
      </c>
      <c r="R113" s="38" t="s">
        <v>151</v>
      </c>
      <c r="S113" s="38" t="s">
        <v>151</v>
      </c>
      <c r="T113" s="38" t="s">
        <v>151</v>
      </c>
      <c r="U113" s="38" t="s">
        <v>151</v>
      </c>
      <c r="V113" s="38" t="s">
        <v>151</v>
      </c>
      <c r="W113" s="38" t="s">
        <v>151</v>
      </c>
      <c r="X113" s="38" t="s">
        <v>151</v>
      </c>
      <c r="Y113" s="38" t="s">
        <v>151</v>
      </c>
      <c r="Z113" s="38" t="s">
        <v>151</v>
      </c>
      <c r="AA113" s="38" t="s">
        <v>151</v>
      </c>
      <c r="AB113" s="45" t="s">
        <v>190</v>
      </c>
      <c r="AC113" s="38" t="s">
        <v>151</v>
      </c>
      <c r="AD113" s="38" t="s">
        <v>151</v>
      </c>
      <c r="AE113" s="38" t="s">
        <v>151</v>
      </c>
      <c r="AF113" s="38" t="s">
        <v>151</v>
      </c>
      <c r="AG113" s="38" t="s">
        <v>151</v>
      </c>
      <c r="AH113" s="38" t="s">
        <v>151</v>
      </c>
      <c r="AI113" s="38" t="s">
        <v>151</v>
      </c>
      <c r="AJ113" s="38" t="s">
        <v>151</v>
      </c>
      <c r="AK113" s="38" t="s">
        <v>151</v>
      </c>
      <c r="AL113" s="38" t="s">
        <v>151</v>
      </c>
      <c r="AM113" s="38" t="s">
        <v>151</v>
      </c>
      <c r="AN113" s="38" t="s">
        <v>151</v>
      </c>
      <c r="AO113" s="38" t="s">
        <v>151</v>
      </c>
      <c r="AP113" s="45" t="s">
        <v>190</v>
      </c>
      <c r="AQ113" s="38" t="s">
        <v>151</v>
      </c>
      <c r="AR113" s="38" t="s">
        <v>151</v>
      </c>
    </row>
    <row r="114">
      <c r="A114" s="1" t="str">
        <f>IFERROR(__xludf.DUMMYFUNCTION("""COMPUTED_VALUE"""),"Nico Minoru")</f>
        <v>Nico Minoru</v>
      </c>
      <c r="B114" s="38" t="s">
        <v>151</v>
      </c>
      <c r="C114" s="38" t="s">
        <v>151</v>
      </c>
      <c r="D114" s="38" t="s">
        <v>151</v>
      </c>
      <c r="E114" s="38" t="s">
        <v>151</v>
      </c>
      <c r="F114" s="38" t="s">
        <v>151</v>
      </c>
      <c r="G114" s="45" t="s">
        <v>190</v>
      </c>
      <c r="H114" s="38" t="s">
        <v>151</v>
      </c>
      <c r="I114" s="38" t="s">
        <v>151</v>
      </c>
      <c r="J114" s="38" t="s">
        <v>151</v>
      </c>
      <c r="K114" s="38" t="s">
        <v>151</v>
      </c>
      <c r="L114" s="38" t="s">
        <v>151</v>
      </c>
      <c r="M114" s="38" t="s">
        <v>151</v>
      </c>
      <c r="N114" s="38" t="s">
        <v>151</v>
      </c>
      <c r="O114" s="38" t="s">
        <v>151</v>
      </c>
      <c r="P114" s="38" t="s">
        <v>151</v>
      </c>
      <c r="Q114" s="38" t="s">
        <v>151</v>
      </c>
      <c r="R114" s="38" t="s">
        <v>151</v>
      </c>
      <c r="S114" s="38" t="s">
        <v>151</v>
      </c>
      <c r="T114" s="38" t="s">
        <v>151</v>
      </c>
      <c r="U114" s="38" t="s">
        <v>151</v>
      </c>
      <c r="V114" s="38" t="s">
        <v>151</v>
      </c>
      <c r="W114" s="38" t="s">
        <v>151</v>
      </c>
      <c r="X114" s="38" t="s">
        <v>151</v>
      </c>
      <c r="Y114" s="38" t="s">
        <v>151</v>
      </c>
      <c r="Z114" s="38" t="s">
        <v>151</v>
      </c>
      <c r="AA114" s="38" t="s">
        <v>151</v>
      </c>
      <c r="AB114" s="45" t="s">
        <v>190</v>
      </c>
      <c r="AC114" s="38" t="s">
        <v>151</v>
      </c>
      <c r="AD114" s="38" t="s">
        <v>151</v>
      </c>
      <c r="AE114" s="38" t="s">
        <v>151</v>
      </c>
      <c r="AF114" s="38" t="s">
        <v>151</v>
      </c>
      <c r="AG114" s="38" t="s">
        <v>151</v>
      </c>
      <c r="AH114" s="38" t="s">
        <v>151</v>
      </c>
      <c r="AI114" s="38" t="s">
        <v>151</v>
      </c>
      <c r="AJ114" s="45" t="s">
        <v>190</v>
      </c>
      <c r="AK114" s="38" t="s">
        <v>151</v>
      </c>
      <c r="AL114" s="38" t="s">
        <v>151</v>
      </c>
      <c r="AM114" s="38" t="s">
        <v>151</v>
      </c>
      <c r="AN114" s="38" t="s">
        <v>151</v>
      </c>
      <c r="AO114" s="38" t="s">
        <v>151</v>
      </c>
      <c r="AP114" s="38" t="s">
        <v>151</v>
      </c>
      <c r="AQ114" s="38" t="s">
        <v>151</v>
      </c>
      <c r="AR114" s="38" t="s">
        <v>151</v>
      </c>
    </row>
    <row r="115">
      <c r="A115" s="1" t="str">
        <f>IFERROR(__xludf.DUMMYFUNCTION("""COMPUTED_VALUE"""),"Night Thrasher")</f>
        <v>Night Thrasher</v>
      </c>
      <c r="B115" s="38" t="s">
        <v>151</v>
      </c>
      <c r="C115" s="38" t="s">
        <v>151</v>
      </c>
      <c r="D115" s="38" t="s">
        <v>151</v>
      </c>
      <c r="E115" s="38" t="s">
        <v>151</v>
      </c>
      <c r="F115" s="38" t="s">
        <v>151</v>
      </c>
      <c r="G115" s="38" t="s">
        <v>151</v>
      </c>
      <c r="H115" s="38" t="s">
        <v>151</v>
      </c>
      <c r="I115" s="38" t="s">
        <v>151</v>
      </c>
      <c r="J115" s="38" t="s">
        <v>151</v>
      </c>
      <c r="K115" s="38" t="s">
        <v>151</v>
      </c>
      <c r="L115" s="38" t="s">
        <v>151</v>
      </c>
      <c r="M115" s="38" t="s">
        <v>151</v>
      </c>
      <c r="N115" s="38" t="s">
        <v>151</v>
      </c>
      <c r="O115" s="38" t="s">
        <v>151</v>
      </c>
      <c r="P115" s="38" t="s">
        <v>151</v>
      </c>
      <c r="Q115" s="38" t="s">
        <v>151</v>
      </c>
      <c r="R115" s="38" t="s">
        <v>151</v>
      </c>
      <c r="S115" s="38" t="s">
        <v>151</v>
      </c>
      <c r="T115" s="45" t="s">
        <v>190</v>
      </c>
      <c r="U115" s="38" t="s">
        <v>151</v>
      </c>
      <c r="V115" s="38" t="s">
        <v>151</v>
      </c>
      <c r="W115" s="38" t="s">
        <v>151</v>
      </c>
      <c r="X115" s="38" t="s">
        <v>151</v>
      </c>
      <c r="Y115" s="38" t="s">
        <v>151</v>
      </c>
      <c r="Z115" s="38" t="s">
        <v>151</v>
      </c>
      <c r="AA115" s="38" t="s">
        <v>151</v>
      </c>
      <c r="AB115" s="38" t="s">
        <v>151</v>
      </c>
      <c r="AC115" s="38" t="s">
        <v>151</v>
      </c>
      <c r="AD115" s="38" t="s">
        <v>151</v>
      </c>
      <c r="AE115" s="38" t="s">
        <v>151</v>
      </c>
      <c r="AF115" s="38" t="s">
        <v>151</v>
      </c>
      <c r="AG115" s="38" t="s">
        <v>151</v>
      </c>
      <c r="AH115" s="38" t="s">
        <v>151</v>
      </c>
      <c r="AI115" s="38" t="s">
        <v>151</v>
      </c>
      <c r="AJ115" s="38" t="s">
        <v>151</v>
      </c>
      <c r="AK115" s="38" t="s">
        <v>151</v>
      </c>
      <c r="AL115" s="38" t="s">
        <v>151</v>
      </c>
      <c r="AM115" s="38" t="s">
        <v>151</v>
      </c>
      <c r="AN115" s="38" t="s">
        <v>151</v>
      </c>
      <c r="AO115" s="38" t="s">
        <v>151</v>
      </c>
      <c r="AP115" s="38" t="s">
        <v>151</v>
      </c>
      <c r="AQ115" s="38" t="s">
        <v>151</v>
      </c>
      <c r="AR115" s="38" t="s">
        <v>151</v>
      </c>
    </row>
    <row r="116">
      <c r="A116" s="1" t="str">
        <f>IFERROR(__xludf.DUMMYFUNCTION("""COMPUTED_VALUE"""),"Nimrod")</f>
        <v>Nimrod</v>
      </c>
      <c r="B116" s="45" t="s">
        <v>190</v>
      </c>
      <c r="C116" s="38" t="s">
        <v>151</v>
      </c>
      <c r="D116" s="38" t="s">
        <v>151</v>
      </c>
      <c r="E116" s="38" t="s">
        <v>151</v>
      </c>
      <c r="F116" s="45" t="s">
        <v>190</v>
      </c>
      <c r="G116" s="38" t="s">
        <v>151</v>
      </c>
      <c r="H116" s="38" t="s">
        <v>151</v>
      </c>
      <c r="I116" s="38" t="s">
        <v>151</v>
      </c>
      <c r="J116" s="38" t="s">
        <v>151</v>
      </c>
      <c r="K116" s="38" t="s">
        <v>151</v>
      </c>
      <c r="L116" s="38" t="s">
        <v>151</v>
      </c>
      <c r="M116" s="38" t="s">
        <v>151</v>
      </c>
      <c r="N116" s="38" t="s">
        <v>151</v>
      </c>
      <c r="O116" s="38" t="s">
        <v>151</v>
      </c>
      <c r="P116" s="38" t="s">
        <v>151</v>
      </c>
      <c r="Q116" s="38" t="s">
        <v>151</v>
      </c>
      <c r="R116" s="38" t="s">
        <v>151</v>
      </c>
      <c r="S116" s="38" t="s">
        <v>151</v>
      </c>
      <c r="T116" s="38" t="s">
        <v>151</v>
      </c>
      <c r="U116" s="38" t="s">
        <v>151</v>
      </c>
      <c r="V116" s="38" t="s">
        <v>151</v>
      </c>
      <c r="W116" s="38" t="s">
        <v>151</v>
      </c>
      <c r="X116" s="38" t="s">
        <v>151</v>
      </c>
      <c r="Y116" s="38" t="s">
        <v>151</v>
      </c>
      <c r="Z116" s="38" t="s">
        <v>151</v>
      </c>
      <c r="AA116" s="38" t="s">
        <v>151</v>
      </c>
      <c r="AB116" s="45" t="s">
        <v>190</v>
      </c>
      <c r="AC116" s="38" t="s">
        <v>151</v>
      </c>
      <c r="AD116" s="38" t="s">
        <v>151</v>
      </c>
      <c r="AE116" s="38" t="s">
        <v>151</v>
      </c>
      <c r="AF116" s="38" t="s">
        <v>151</v>
      </c>
      <c r="AG116" s="38" t="s">
        <v>151</v>
      </c>
      <c r="AH116" s="38" t="s">
        <v>151</v>
      </c>
      <c r="AI116" s="38" t="s">
        <v>151</v>
      </c>
      <c r="AJ116" s="38" t="s">
        <v>151</v>
      </c>
      <c r="AK116" s="38" t="s">
        <v>151</v>
      </c>
      <c r="AL116" s="38" t="s">
        <v>151</v>
      </c>
      <c r="AM116" s="38" t="s">
        <v>151</v>
      </c>
      <c r="AN116" s="38" t="s">
        <v>151</v>
      </c>
      <c r="AO116" s="38" t="s">
        <v>151</v>
      </c>
      <c r="AP116" s="38" t="s">
        <v>151</v>
      </c>
      <c r="AQ116" s="38" t="s">
        <v>151</v>
      </c>
      <c r="AR116" s="38" t="s">
        <v>151</v>
      </c>
    </row>
    <row r="117">
      <c r="A117" s="1" t="str">
        <f>IFERROR(__xludf.DUMMYFUNCTION("""COMPUTED_VALUE"""),"Odin")</f>
        <v>Odin</v>
      </c>
      <c r="B117" s="38" t="s">
        <v>151</v>
      </c>
      <c r="C117" s="38" t="s">
        <v>151</v>
      </c>
      <c r="D117" s="38" t="s">
        <v>151</v>
      </c>
      <c r="E117" s="38" t="s">
        <v>151</v>
      </c>
      <c r="F117" s="38" t="s">
        <v>151</v>
      </c>
      <c r="G117" s="38" t="s">
        <v>151</v>
      </c>
      <c r="H117" s="38" t="s">
        <v>151</v>
      </c>
      <c r="I117" s="38" t="s">
        <v>151</v>
      </c>
      <c r="J117" s="38" t="s">
        <v>151</v>
      </c>
      <c r="K117" s="38" t="s">
        <v>151</v>
      </c>
      <c r="L117" s="38" t="s">
        <v>151</v>
      </c>
      <c r="M117" s="38" t="s">
        <v>151</v>
      </c>
      <c r="N117" s="38" t="s">
        <v>151</v>
      </c>
      <c r="O117" s="38" t="s">
        <v>151</v>
      </c>
      <c r="P117" s="38" t="s">
        <v>151</v>
      </c>
      <c r="Q117" s="38" t="s">
        <v>151</v>
      </c>
      <c r="R117" s="38" t="s">
        <v>151</v>
      </c>
      <c r="S117" s="38" t="s">
        <v>151</v>
      </c>
      <c r="T117" s="38" t="s">
        <v>151</v>
      </c>
      <c r="U117" s="38" t="s">
        <v>151</v>
      </c>
      <c r="V117" s="38" t="s">
        <v>151</v>
      </c>
      <c r="W117" s="38" t="s">
        <v>151</v>
      </c>
      <c r="X117" s="38" t="s">
        <v>151</v>
      </c>
      <c r="Y117" s="38" t="s">
        <v>151</v>
      </c>
      <c r="Z117" s="45" t="s">
        <v>190</v>
      </c>
      <c r="AA117" s="38" t="s">
        <v>151</v>
      </c>
      <c r="AB117" s="38" t="s">
        <v>151</v>
      </c>
      <c r="AC117" s="38" t="s">
        <v>151</v>
      </c>
      <c r="AD117" s="38" t="s">
        <v>151</v>
      </c>
      <c r="AE117" s="38" t="s">
        <v>151</v>
      </c>
      <c r="AF117" s="38" t="s">
        <v>151</v>
      </c>
      <c r="AG117" s="38" t="s">
        <v>151</v>
      </c>
      <c r="AH117" s="38" t="s">
        <v>151</v>
      </c>
      <c r="AI117" s="38" t="s">
        <v>151</v>
      </c>
      <c r="AJ117" s="38" t="s">
        <v>151</v>
      </c>
      <c r="AK117" s="38" t="s">
        <v>151</v>
      </c>
      <c r="AL117" s="38" t="s">
        <v>151</v>
      </c>
      <c r="AM117" s="38" t="s">
        <v>151</v>
      </c>
      <c r="AN117" s="38" t="s">
        <v>151</v>
      </c>
      <c r="AO117" s="38" t="s">
        <v>151</v>
      </c>
      <c r="AP117" s="38" t="s">
        <v>151</v>
      </c>
      <c r="AQ117" s="38" t="s">
        <v>151</v>
      </c>
      <c r="AR117" s="38" t="s">
        <v>151</v>
      </c>
    </row>
    <row r="118">
      <c r="A118" s="1" t="str">
        <f>IFERROR(__xludf.DUMMYFUNCTION("""COMPUTED_VALUE"""),"Old Man Logan")</f>
        <v>Old Man Logan</v>
      </c>
      <c r="B118" s="45" t="s">
        <v>190</v>
      </c>
      <c r="C118" s="38" t="s">
        <v>151</v>
      </c>
      <c r="D118" s="38" t="s">
        <v>151</v>
      </c>
      <c r="E118" s="38" t="s">
        <v>151</v>
      </c>
      <c r="F118" s="38" t="s">
        <v>151</v>
      </c>
      <c r="G118" s="38" t="s">
        <v>151</v>
      </c>
      <c r="H118" s="38" t="s">
        <v>151</v>
      </c>
      <c r="I118" s="38" t="s">
        <v>151</v>
      </c>
      <c r="J118" s="38" t="s">
        <v>151</v>
      </c>
      <c r="K118" s="38" t="s">
        <v>151</v>
      </c>
      <c r="L118" s="38" t="s">
        <v>151</v>
      </c>
      <c r="M118" s="38" t="s">
        <v>151</v>
      </c>
      <c r="N118" s="38" t="s">
        <v>151</v>
      </c>
      <c r="O118" s="38" t="s">
        <v>151</v>
      </c>
      <c r="P118" s="38" t="s">
        <v>151</v>
      </c>
      <c r="Q118" s="38" t="s">
        <v>151</v>
      </c>
      <c r="R118" s="38" t="s">
        <v>151</v>
      </c>
      <c r="S118" s="38" t="s">
        <v>151</v>
      </c>
      <c r="T118" s="38" t="s">
        <v>151</v>
      </c>
      <c r="U118" s="38" t="s">
        <v>151</v>
      </c>
      <c r="V118" s="38" t="s">
        <v>151</v>
      </c>
      <c r="W118" s="38" t="s">
        <v>151</v>
      </c>
      <c r="X118" s="38" t="s">
        <v>151</v>
      </c>
      <c r="Y118" s="38" t="s">
        <v>151</v>
      </c>
      <c r="Z118" s="38" t="s">
        <v>151</v>
      </c>
      <c r="AA118" s="38" t="s">
        <v>151</v>
      </c>
      <c r="AB118" s="38" t="s">
        <v>151</v>
      </c>
      <c r="AC118" s="38" t="s">
        <v>151</v>
      </c>
      <c r="AD118" s="38" t="s">
        <v>151</v>
      </c>
      <c r="AE118" s="38" t="s">
        <v>151</v>
      </c>
      <c r="AF118" s="38" t="s">
        <v>151</v>
      </c>
      <c r="AG118" s="38" t="s">
        <v>151</v>
      </c>
      <c r="AH118" s="38" t="s">
        <v>151</v>
      </c>
      <c r="AI118" s="38" t="s">
        <v>151</v>
      </c>
      <c r="AJ118" s="38" t="s">
        <v>151</v>
      </c>
      <c r="AK118" s="38" t="s">
        <v>151</v>
      </c>
      <c r="AL118" s="38" t="s">
        <v>151</v>
      </c>
      <c r="AM118" s="38" t="s">
        <v>151</v>
      </c>
      <c r="AN118" s="38" t="s">
        <v>151</v>
      </c>
      <c r="AO118" s="38" t="s">
        <v>151</v>
      </c>
      <c r="AP118" s="38" t="s">
        <v>151</v>
      </c>
      <c r="AQ118" s="38" t="s">
        <v>151</v>
      </c>
      <c r="AR118" s="38" t="s">
        <v>151</v>
      </c>
    </row>
    <row r="119">
      <c r="A119" s="1" t="str">
        <f>IFERROR(__xludf.DUMMYFUNCTION("""COMPUTED_VALUE"""),"Omega Red")</f>
        <v>Omega Red</v>
      </c>
      <c r="B119" s="38" t="s">
        <v>151</v>
      </c>
      <c r="C119" s="38" t="s">
        <v>151</v>
      </c>
      <c r="D119" s="38" t="s">
        <v>151</v>
      </c>
      <c r="E119" s="38" t="s">
        <v>151</v>
      </c>
      <c r="F119" s="38" t="s">
        <v>151</v>
      </c>
      <c r="G119" s="38" t="s">
        <v>151</v>
      </c>
      <c r="H119" s="38" t="s">
        <v>151</v>
      </c>
      <c r="I119" s="38" t="s">
        <v>151</v>
      </c>
      <c r="J119" s="38" t="s">
        <v>151</v>
      </c>
      <c r="K119" s="38" t="s">
        <v>151</v>
      </c>
      <c r="L119" s="38" t="s">
        <v>151</v>
      </c>
      <c r="M119" s="38" t="s">
        <v>151</v>
      </c>
      <c r="N119" s="38" t="s">
        <v>151</v>
      </c>
      <c r="O119" s="38" t="s">
        <v>151</v>
      </c>
      <c r="P119" s="38" t="s">
        <v>151</v>
      </c>
      <c r="Q119" s="38" t="s">
        <v>151</v>
      </c>
      <c r="R119" s="38" t="s">
        <v>151</v>
      </c>
      <c r="S119" s="38" t="s">
        <v>151</v>
      </c>
      <c r="T119" s="38" t="s">
        <v>151</v>
      </c>
      <c r="U119" s="38" t="s">
        <v>151</v>
      </c>
      <c r="V119" s="38" t="s">
        <v>151</v>
      </c>
      <c r="W119" s="38" t="s">
        <v>151</v>
      </c>
      <c r="X119" s="38" t="s">
        <v>151</v>
      </c>
      <c r="Y119" s="38" t="s">
        <v>151</v>
      </c>
      <c r="Z119" s="38" t="s">
        <v>151</v>
      </c>
      <c r="AA119" s="38" t="s">
        <v>151</v>
      </c>
      <c r="AB119" s="45" t="s">
        <v>190</v>
      </c>
      <c r="AC119" s="38" t="s">
        <v>151</v>
      </c>
      <c r="AD119" s="38" t="s">
        <v>151</v>
      </c>
      <c r="AE119" s="38" t="s">
        <v>151</v>
      </c>
      <c r="AF119" s="38" t="s">
        <v>151</v>
      </c>
      <c r="AG119" s="38" t="s">
        <v>151</v>
      </c>
      <c r="AH119" s="38" t="s">
        <v>151</v>
      </c>
      <c r="AI119" s="38" t="s">
        <v>151</v>
      </c>
      <c r="AJ119" s="38" t="s">
        <v>151</v>
      </c>
      <c r="AK119" s="38" t="s">
        <v>151</v>
      </c>
      <c r="AL119" s="38" t="s">
        <v>151</v>
      </c>
      <c r="AM119" s="38" t="s">
        <v>151</v>
      </c>
      <c r="AN119" s="38" t="s">
        <v>151</v>
      </c>
      <c r="AO119" s="38" t="s">
        <v>151</v>
      </c>
      <c r="AP119" s="38" t="s">
        <v>151</v>
      </c>
      <c r="AQ119" s="38" t="s">
        <v>151</v>
      </c>
      <c r="AR119" s="38" t="s">
        <v>151</v>
      </c>
    </row>
    <row r="120">
      <c r="A120" s="1" t="str">
        <f>IFERROR(__xludf.DUMMYFUNCTION("""COMPUTED_VALUE"""),"Omega Sentinel")</f>
        <v>Omega Sentinel</v>
      </c>
      <c r="B120" s="38" t="s">
        <v>151</v>
      </c>
      <c r="C120" s="38" t="s">
        <v>151</v>
      </c>
      <c r="D120" s="38" t="s">
        <v>151</v>
      </c>
      <c r="E120" s="38" t="s">
        <v>151</v>
      </c>
      <c r="F120" s="38" t="s">
        <v>151</v>
      </c>
      <c r="G120" s="38" t="s">
        <v>151</v>
      </c>
      <c r="H120" s="38" t="s">
        <v>151</v>
      </c>
      <c r="I120" s="38" t="s">
        <v>151</v>
      </c>
      <c r="J120" s="38" t="s">
        <v>151</v>
      </c>
      <c r="K120" s="38" t="s">
        <v>151</v>
      </c>
      <c r="L120" s="38" t="s">
        <v>151</v>
      </c>
      <c r="M120" s="38" t="s">
        <v>151</v>
      </c>
      <c r="N120" s="38" t="s">
        <v>151</v>
      </c>
      <c r="O120" s="38" t="s">
        <v>151</v>
      </c>
      <c r="P120" s="45" t="s">
        <v>190</v>
      </c>
      <c r="Q120" s="38" t="s">
        <v>151</v>
      </c>
      <c r="R120" s="38" t="s">
        <v>151</v>
      </c>
      <c r="S120" s="38" t="s">
        <v>151</v>
      </c>
      <c r="T120" s="38" t="s">
        <v>151</v>
      </c>
      <c r="U120" s="38" t="s">
        <v>151</v>
      </c>
      <c r="V120" s="38" t="s">
        <v>151</v>
      </c>
      <c r="W120" s="38" t="s">
        <v>151</v>
      </c>
      <c r="X120" s="38" t="s">
        <v>151</v>
      </c>
      <c r="Y120" s="38" t="s">
        <v>151</v>
      </c>
      <c r="Z120" s="45" t="s">
        <v>190</v>
      </c>
      <c r="AA120" s="38" t="s">
        <v>151</v>
      </c>
      <c r="AB120" s="38" t="s">
        <v>151</v>
      </c>
      <c r="AC120" s="38" t="s">
        <v>151</v>
      </c>
      <c r="AD120" s="38" t="s">
        <v>151</v>
      </c>
      <c r="AE120" s="38" t="s">
        <v>151</v>
      </c>
      <c r="AF120" s="38" t="s">
        <v>151</v>
      </c>
      <c r="AG120" s="38" t="s">
        <v>151</v>
      </c>
      <c r="AH120" s="38" t="s">
        <v>151</v>
      </c>
      <c r="AI120" s="38" t="s">
        <v>151</v>
      </c>
      <c r="AJ120" s="38" t="s">
        <v>151</v>
      </c>
      <c r="AK120" s="38" t="s">
        <v>151</v>
      </c>
      <c r="AL120" s="38" t="s">
        <v>151</v>
      </c>
      <c r="AM120" s="38" t="s">
        <v>151</v>
      </c>
      <c r="AN120" s="38" t="s">
        <v>151</v>
      </c>
      <c r="AO120" s="45" t="s">
        <v>190</v>
      </c>
      <c r="AP120" s="38" t="s">
        <v>151</v>
      </c>
      <c r="AQ120" s="38" t="s">
        <v>151</v>
      </c>
      <c r="AR120" s="38" t="s">
        <v>151</v>
      </c>
    </row>
    <row r="121">
      <c r="A121" s="1" t="str">
        <f>IFERROR(__xludf.DUMMYFUNCTION("""COMPUTED_VALUE"""),"Peni Parker")</f>
        <v>Peni Parker</v>
      </c>
      <c r="B121" s="38" t="s">
        <v>151</v>
      </c>
      <c r="C121" s="38" t="s">
        <v>151</v>
      </c>
      <c r="D121" s="38" t="s">
        <v>151</v>
      </c>
      <c r="E121" s="38" t="s">
        <v>151</v>
      </c>
      <c r="F121" s="38" t="s">
        <v>151</v>
      </c>
      <c r="G121" s="38" t="s">
        <v>151</v>
      </c>
      <c r="H121" s="38" t="s">
        <v>151</v>
      </c>
      <c r="I121" s="38" t="s">
        <v>151</v>
      </c>
      <c r="J121" s="38" t="s">
        <v>151</v>
      </c>
      <c r="K121" s="38" t="s">
        <v>151</v>
      </c>
      <c r="L121" s="38" t="s">
        <v>151</v>
      </c>
      <c r="M121" s="38" t="s">
        <v>151</v>
      </c>
      <c r="N121" s="38" t="s">
        <v>151</v>
      </c>
      <c r="O121" s="38" t="s">
        <v>151</v>
      </c>
      <c r="P121" s="38" t="s">
        <v>151</v>
      </c>
      <c r="Q121" s="38" t="s">
        <v>151</v>
      </c>
      <c r="R121" s="38" t="s">
        <v>151</v>
      </c>
      <c r="S121" s="38" t="s">
        <v>151</v>
      </c>
      <c r="T121" s="45" t="s">
        <v>190</v>
      </c>
      <c r="U121" s="38" t="s">
        <v>151</v>
      </c>
      <c r="V121" s="38" t="s">
        <v>151</v>
      </c>
      <c r="W121" s="38" t="s">
        <v>151</v>
      </c>
      <c r="X121" s="38" t="s">
        <v>151</v>
      </c>
      <c r="Y121" s="38" t="s">
        <v>151</v>
      </c>
      <c r="Z121" s="38" t="s">
        <v>151</v>
      </c>
      <c r="AA121" s="38" t="s">
        <v>151</v>
      </c>
      <c r="AB121" s="45" t="s">
        <v>190</v>
      </c>
      <c r="AC121" s="38" t="s">
        <v>151</v>
      </c>
      <c r="AD121" s="38" t="s">
        <v>151</v>
      </c>
      <c r="AE121" s="38" t="s">
        <v>151</v>
      </c>
      <c r="AF121" s="38" t="s">
        <v>151</v>
      </c>
      <c r="AG121" s="38" t="s">
        <v>151</v>
      </c>
      <c r="AH121" s="38" t="s">
        <v>151</v>
      </c>
      <c r="AI121" s="38" t="s">
        <v>151</v>
      </c>
      <c r="AJ121" s="38" t="s">
        <v>151</v>
      </c>
      <c r="AK121" s="38" t="s">
        <v>151</v>
      </c>
      <c r="AL121" s="38" t="s">
        <v>151</v>
      </c>
      <c r="AM121" s="38" t="s">
        <v>151</v>
      </c>
      <c r="AN121" s="38" t="s">
        <v>151</v>
      </c>
      <c r="AO121" s="38" t="s">
        <v>151</v>
      </c>
      <c r="AP121" s="45" t="s">
        <v>190</v>
      </c>
      <c r="AQ121" s="38" t="s">
        <v>151</v>
      </c>
      <c r="AR121" s="38" t="s">
        <v>151</v>
      </c>
    </row>
    <row r="122">
      <c r="A122" s="1" t="str">
        <f>IFERROR(__xludf.DUMMYFUNCTION("""COMPUTED_VALUE"""),"Phoenix")</f>
        <v>Phoenix</v>
      </c>
      <c r="B122" s="38" t="s">
        <v>151</v>
      </c>
      <c r="C122" s="38" t="s">
        <v>151</v>
      </c>
      <c r="D122" s="38" t="s">
        <v>151</v>
      </c>
      <c r="E122" s="38" t="s">
        <v>151</v>
      </c>
      <c r="F122" s="38" t="s">
        <v>151</v>
      </c>
      <c r="G122" s="38" t="s">
        <v>151</v>
      </c>
      <c r="H122" s="38" t="s">
        <v>151</v>
      </c>
      <c r="I122" s="38" t="s">
        <v>151</v>
      </c>
      <c r="J122" s="38" t="s">
        <v>151</v>
      </c>
      <c r="K122" s="38" t="s">
        <v>151</v>
      </c>
      <c r="L122" s="38" t="s">
        <v>151</v>
      </c>
      <c r="M122" s="38" t="s">
        <v>151</v>
      </c>
      <c r="N122" s="38" t="s">
        <v>151</v>
      </c>
      <c r="O122" s="38" t="s">
        <v>151</v>
      </c>
      <c r="P122" s="38" t="s">
        <v>151</v>
      </c>
      <c r="Q122" s="38" t="s">
        <v>151</v>
      </c>
      <c r="R122" s="38" t="s">
        <v>151</v>
      </c>
      <c r="S122" s="45" t="s">
        <v>190</v>
      </c>
      <c r="T122" s="45" t="s">
        <v>190</v>
      </c>
      <c r="U122" s="38" t="s">
        <v>151</v>
      </c>
      <c r="V122" s="38" t="s">
        <v>151</v>
      </c>
      <c r="W122" s="38" t="s">
        <v>151</v>
      </c>
      <c r="X122" s="38" t="s">
        <v>151</v>
      </c>
      <c r="Y122" s="38" t="s">
        <v>151</v>
      </c>
      <c r="Z122" s="38" t="s">
        <v>151</v>
      </c>
      <c r="AA122" s="38" t="s">
        <v>151</v>
      </c>
      <c r="AB122" s="38" t="s">
        <v>151</v>
      </c>
      <c r="AC122" s="45" t="s">
        <v>190</v>
      </c>
      <c r="AD122" s="45" t="s">
        <v>190</v>
      </c>
      <c r="AE122" s="45" t="s">
        <v>190</v>
      </c>
      <c r="AF122" s="38" t="s">
        <v>151</v>
      </c>
      <c r="AG122" s="38" t="s">
        <v>151</v>
      </c>
      <c r="AH122" s="38" t="s">
        <v>151</v>
      </c>
      <c r="AI122" s="38" t="s">
        <v>151</v>
      </c>
      <c r="AJ122" s="38" t="s">
        <v>151</v>
      </c>
      <c r="AK122" s="38" t="s">
        <v>151</v>
      </c>
      <c r="AL122" s="38" t="s">
        <v>151</v>
      </c>
      <c r="AM122" s="45" t="s">
        <v>190</v>
      </c>
      <c r="AN122" s="38" t="s">
        <v>151</v>
      </c>
      <c r="AO122" s="38" t="s">
        <v>151</v>
      </c>
      <c r="AP122" s="38" t="s">
        <v>151</v>
      </c>
      <c r="AQ122" s="38" t="s">
        <v>151</v>
      </c>
      <c r="AR122" s="38" t="s">
        <v>151</v>
      </c>
    </row>
    <row r="123">
      <c r="A123" s="1" t="str">
        <f>IFERROR(__xludf.DUMMYFUNCTION("""COMPUTED_VALUE"""),"Photon")</f>
        <v>Photon</v>
      </c>
      <c r="B123" s="38" t="s">
        <v>151</v>
      </c>
      <c r="C123" s="38" t="s">
        <v>151</v>
      </c>
      <c r="D123" s="38" t="s">
        <v>151</v>
      </c>
      <c r="E123" s="38" t="s">
        <v>151</v>
      </c>
      <c r="F123" s="45" t="s">
        <v>190</v>
      </c>
      <c r="G123" s="38" t="s">
        <v>151</v>
      </c>
      <c r="H123" s="38" t="s">
        <v>151</v>
      </c>
      <c r="I123" s="38" t="s">
        <v>151</v>
      </c>
      <c r="J123" s="38" t="s">
        <v>151</v>
      </c>
      <c r="K123" s="38" t="s">
        <v>151</v>
      </c>
      <c r="L123" s="38" t="s">
        <v>151</v>
      </c>
      <c r="M123" s="38" t="s">
        <v>151</v>
      </c>
      <c r="N123" s="38" t="s">
        <v>151</v>
      </c>
      <c r="O123" s="38" t="s">
        <v>151</v>
      </c>
      <c r="P123" s="38" t="s">
        <v>151</v>
      </c>
      <c r="Q123" s="38" t="s">
        <v>151</v>
      </c>
      <c r="R123" s="38" t="s">
        <v>151</v>
      </c>
      <c r="S123" s="38" t="s">
        <v>151</v>
      </c>
      <c r="T123" s="38" t="s">
        <v>151</v>
      </c>
      <c r="U123" s="38" t="s">
        <v>151</v>
      </c>
      <c r="V123" s="38" t="s">
        <v>151</v>
      </c>
      <c r="W123" s="38" t="s">
        <v>151</v>
      </c>
      <c r="X123" s="45" t="s">
        <v>190</v>
      </c>
      <c r="Y123" s="38" t="s">
        <v>151</v>
      </c>
      <c r="Z123" s="38" t="s">
        <v>151</v>
      </c>
      <c r="AA123" s="38" t="s">
        <v>151</v>
      </c>
      <c r="AB123" s="38" t="s">
        <v>151</v>
      </c>
      <c r="AC123" s="38" t="s">
        <v>151</v>
      </c>
      <c r="AD123" s="38" t="s">
        <v>151</v>
      </c>
      <c r="AE123" s="38" t="s">
        <v>151</v>
      </c>
      <c r="AF123" s="45" t="s">
        <v>190</v>
      </c>
      <c r="AG123" s="38" t="s">
        <v>151</v>
      </c>
      <c r="AH123" s="38" t="s">
        <v>151</v>
      </c>
      <c r="AI123" s="38" t="s">
        <v>151</v>
      </c>
      <c r="AJ123" s="38" t="s">
        <v>151</v>
      </c>
      <c r="AK123" s="38" t="s">
        <v>151</v>
      </c>
      <c r="AL123" s="38" t="s">
        <v>151</v>
      </c>
      <c r="AM123" s="38" t="s">
        <v>151</v>
      </c>
      <c r="AN123" s="38" t="s">
        <v>151</v>
      </c>
      <c r="AO123" s="38" t="s">
        <v>151</v>
      </c>
      <c r="AP123" s="38" t="s">
        <v>151</v>
      </c>
      <c r="AQ123" s="38" t="s">
        <v>151</v>
      </c>
      <c r="AR123" s="38" t="s">
        <v>151</v>
      </c>
    </row>
    <row r="124">
      <c r="A124" s="1" t="str">
        <f>IFERROR(__xludf.DUMMYFUNCTION("""COMPUTED_VALUE"""),"Phyla-Vell")</f>
        <v>Phyla-Vell</v>
      </c>
      <c r="B124" s="38" t="s">
        <v>151</v>
      </c>
      <c r="C124" s="38" t="s">
        <v>151</v>
      </c>
      <c r="D124" s="38" t="s">
        <v>151</v>
      </c>
      <c r="E124" s="38" t="s">
        <v>151</v>
      </c>
      <c r="F124" s="38" t="s">
        <v>151</v>
      </c>
      <c r="G124" s="38" t="s">
        <v>151</v>
      </c>
      <c r="H124" s="38" t="s">
        <v>151</v>
      </c>
      <c r="I124" s="38" t="s">
        <v>151</v>
      </c>
      <c r="J124" s="38" t="s">
        <v>151</v>
      </c>
      <c r="K124" s="45" t="s">
        <v>190</v>
      </c>
      <c r="L124" s="38" t="s">
        <v>151</v>
      </c>
      <c r="M124" s="38" t="s">
        <v>151</v>
      </c>
      <c r="N124" s="38" t="s">
        <v>151</v>
      </c>
      <c r="O124" s="38" t="s">
        <v>151</v>
      </c>
      <c r="P124" s="38" t="s">
        <v>151</v>
      </c>
      <c r="Q124" s="38" t="s">
        <v>151</v>
      </c>
      <c r="R124" s="38" t="s">
        <v>151</v>
      </c>
      <c r="S124" s="38" t="s">
        <v>151</v>
      </c>
      <c r="T124" s="38" t="s">
        <v>151</v>
      </c>
      <c r="U124" s="38" t="s">
        <v>151</v>
      </c>
      <c r="V124" s="38" t="s">
        <v>151</v>
      </c>
      <c r="W124" s="38" t="s">
        <v>151</v>
      </c>
      <c r="X124" s="38" t="s">
        <v>151</v>
      </c>
      <c r="Y124" s="38" t="s">
        <v>151</v>
      </c>
      <c r="Z124" s="38" t="s">
        <v>151</v>
      </c>
      <c r="AA124" s="38" t="s">
        <v>151</v>
      </c>
      <c r="AB124" s="45" t="s">
        <v>190</v>
      </c>
      <c r="AC124" s="38" t="s">
        <v>151</v>
      </c>
      <c r="AD124" s="38" t="s">
        <v>151</v>
      </c>
      <c r="AE124" s="38" t="s">
        <v>151</v>
      </c>
      <c r="AF124" s="38" t="s">
        <v>151</v>
      </c>
      <c r="AG124" s="38" t="s">
        <v>151</v>
      </c>
      <c r="AH124" s="38" t="s">
        <v>151</v>
      </c>
      <c r="AI124" s="38" t="s">
        <v>151</v>
      </c>
      <c r="AJ124" s="38" t="s">
        <v>151</v>
      </c>
      <c r="AK124" s="38" t="s">
        <v>151</v>
      </c>
      <c r="AL124" s="38" t="s">
        <v>151</v>
      </c>
      <c r="AM124" s="45" t="s">
        <v>190</v>
      </c>
      <c r="AN124" s="38" t="s">
        <v>151</v>
      </c>
      <c r="AO124" s="38" t="s">
        <v>151</v>
      </c>
      <c r="AP124" s="38" t="s">
        <v>151</v>
      </c>
      <c r="AQ124" s="38" t="s">
        <v>151</v>
      </c>
      <c r="AR124" s="38" t="s">
        <v>151</v>
      </c>
    </row>
    <row r="125">
      <c r="A125" s="1" t="str">
        <f>IFERROR(__xludf.DUMMYFUNCTION("""COMPUTED_VALUE"""),"Professor X")</f>
        <v>Professor X</v>
      </c>
      <c r="B125" s="38" t="s">
        <v>151</v>
      </c>
      <c r="C125" s="38" t="s">
        <v>151</v>
      </c>
      <c r="D125" s="38" t="s">
        <v>151</v>
      </c>
      <c r="E125" s="38" t="s">
        <v>151</v>
      </c>
      <c r="F125" s="38" t="s">
        <v>151</v>
      </c>
      <c r="G125" s="38" t="s">
        <v>151</v>
      </c>
      <c r="H125" s="38" t="s">
        <v>151</v>
      </c>
      <c r="I125" s="38" t="s">
        <v>151</v>
      </c>
      <c r="J125" s="38" t="s">
        <v>151</v>
      </c>
      <c r="K125" s="38" t="s">
        <v>151</v>
      </c>
      <c r="L125" s="38" t="s">
        <v>151</v>
      </c>
      <c r="M125" s="38" t="s">
        <v>151</v>
      </c>
      <c r="N125" s="38" t="s">
        <v>151</v>
      </c>
      <c r="O125" s="38" t="s">
        <v>151</v>
      </c>
      <c r="P125" s="38" t="s">
        <v>151</v>
      </c>
      <c r="Q125" s="38" t="s">
        <v>151</v>
      </c>
      <c r="R125" s="38" t="s">
        <v>151</v>
      </c>
      <c r="S125" s="38" t="s">
        <v>151</v>
      </c>
      <c r="T125" s="38" t="s">
        <v>151</v>
      </c>
      <c r="U125" s="38" t="s">
        <v>151</v>
      </c>
      <c r="V125" s="38" t="s">
        <v>151</v>
      </c>
      <c r="W125" s="38" t="s">
        <v>151</v>
      </c>
      <c r="X125" s="38" t="s">
        <v>151</v>
      </c>
      <c r="Y125" s="38" t="s">
        <v>151</v>
      </c>
      <c r="Z125" s="38" t="s">
        <v>151</v>
      </c>
      <c r="AA125" s="38" t="s">
        <v>151</v>
      </c>
      <c r="AB125" s="38" t="s">
        <v>151</v>
      </c>
      <c r="AC125" s="38" t="s">
        <v>151</v>
      </c>
      <c r="AD125" s="38" t="s">
        <v>151</v>
      </c>
      <c r="AE125" s="38" t="s">
        <v>151</v>
      </c>
      <c r="AF125" s="38" t="s">
        <v>151</v>
      </c>
      <c r="AG125" s="38" t="s">
        <v>151</v>
      </c>
      <c r="AH125" s="38" t="s">
        <v>151</v>
      </c>
      <c r="AI125" s="45" t="s">
        <v>190</v>
      </c>
      <c r="AJ125" s="38" t="s">
        <v>151</v>
      </c>
      <c r="AK125" s="38" t="s">
        <v>151</v>
      </c>
      <c r="AL125" s="38" t="s">
        <v>151</v>
      </c>
      <c r="AM125" s="38" t="s">
        <v>151</v>
      </c>
      <c r="AN125" s="38" t="s">
        <v>151</v>
      </c>
      <c r="AO125" s="38" t="s">
        <v>151</v>
      </c>
      <c r="AP125" s="38" t="s">
        <v>151</v>
      </c>
      <c r="AQ125" s="38" t="s">
        <v>151</v>
      </c>
      <c r="AR125" s="38" t="s">
        <v>151</v>
      </c>
    </row>
    <row r="126">
      <c r="A126" s="1" t="str">
        <f>IFERROR(__xludf.DUMMYFUNCTION("""COMPUTED_VALUE"""),"Prowler")</f>
        <v>Prowler</v>
      </c>
      <c r="B126" s="38" t="s">
        <v>151</v>
      </c>
      <c r="C126" s="38" t="s">
        <v>151</v>
      </c>
      <c r="D126" s="38" t="s">
        <v>151</v>
      </c>
      <c r="E126" s="38" t="s">
        <v>151</v>
      </c>
      <c r="F126" s="45" t="s">
        <v>190</v>
      </c>
      <c r="G126" s="38" t="s">
        <v>151</v>
      </c>
      <c r="H126" s="38" t="s">
        <v>151</v>
      </c>
      <c r="I126" s="38" t="s">
        <v>151</v>
      </c>
      <c r="J126" s="38" t="s">
        <v>151</v>
      </c>
      <c r="K126" s="38" t="s">
        <v>151</v>
      </c>
      <c r="L126" s="38" t="s">
        <v>151</v>
      </c>
      <c r="M126" s="38" t="s">
        <v>151</v>
      </c>
      <c r="N126" s="38" t="s">
        <v>151</v>
      </c>
      <c r="O126" s="45" t="s">
        <v>190</v>
      </c>
      <c r="P126" s="38" t="s">
        <v>151</v>
      </c>
      <c r="Q126" s="38" t="s">
        <v>151</v>
      </c>
      <c r="R126" s="38" t="s">
        <v>151</v>
      </c>
      <c r="S126" s="38" t="s">
        <v>151</v>
      </c>
      <c r="T126" s="45" t="s">
        <v>190</v>
      </c>
      <c r="U126" s="38" t="s">
        <v>151</v>
      </c>
      <c r="V126" s="38" t="s">
        <v>151</v>
      </c>
      <c r="W126" s="38" t="s">
        <v>151</v>
      </c>
      <c r="X126" s="38" t="s">
        <v>151</v>
      </c>
      <c r="Y126" s="38" t="s">
        <v>151</v>
      </c>
      <c r="Z126" s="45" t="s">
        <v>190</v>
      </c>
      <c r="AA126" s="38" t="s">
        <v>151</v>
      </c>
      <c r="AB126" s="38" t="s">
        <v>151</v>
      </c>
      <c r="AC126" s="38" t="s">
        <v>151</v>
      </c>
      <c r="AD126" s="38" t="s">
        <v>151</v>
      </c>
      <c r="AE126" s="38" t="s">
        <v>151</v>
      </c>
      <c r="AF126" s="38" t="s">
        <v>151</v>
      </c>
      <c r="AG126" s="38" t="s">
        <v>151</v>
      </c>
      <c r="AH126" s="38" t="s">
        <v>151</v>
      </c>
      <c r="AI126" s="45" t="s">
        <v>190</v>
      </c>
      <c r="AJ126" s="38" t="s">
        <v>151</v>
      </c>
      <c r="AK126" s="38" t="s">
        <v>151</v>
      </c>
      <c r="AL126" s="38" t="s">
        <v>151</v>
      </c>
      <c r="AM126" s="38" t="s">
        <v>151</v>
      </c>
      <c r="AN126" s="38" t="s">
        <v>151</v>
      </c>
      <c r="AO126" s="38" t="s">
        <v>151</v>
      </c>
      <c r="AP126" s="38" t="s">
        <v>151</v>
      </c>
      <c r="AQ126" s="38" t="s">
        <v>151</v>
      </c>
      <c r="AR126" s="38" t="s">
        <v>151</v>
      </c>
    </row>
    <row r="127">
      <c r="A127" s="1" t="str">
        <f>IFERROR(__xludf.DUMMYFUNCTION("""COMPUTED_VALUE"""),"Punisher")</f>
        <v>Punisher</v>
      </c>
      <c r="B127" s="38" t="s">
        <v>151</v>
      </c>
      <c r="C127" s="38" t="s">
        <v>151</v>
      </c>
      <c r="D127" s="38" t="s">
        <v>151</v>
      </c>
      <c r="E127" s="38" t="s">
        <v>151</v>
      </c>
      <c r="F127" s="38" t="s">
        <v>151</v>
      </c>
      <c r="G127" s="38" t="s">
        <v>151</v>
      </c>
      <c r="H127" s="38" t="s">
        <v>151</v>
      </c>
      <c r="I127" s="38" t="s">
        <v>151</v>
      </c>
      <c r="J127" s="38" t="s">
        <v>151</v>
      </c>
      <c r="K127" s="38" t="s">
        <v>151</v>
      </c>
      <c r="L127" s="38" t="s">
        <v>151</v>
      </c>
      <c r="M127" s="38" t="s">
        <v>151</v>
      </c>
      <c r="N127" s="38" t="s">
        <v>151</v>
      </c>
      <c r="O127" s="38" t="s">
        <v>151</v>
      </c>
      <c r="P127" s="38" t="s">
        <v>151</v>
      </c>
      <c r="Q127" s="38" t="s">
        <v>151</v>
      </c>
      <c r="R127" s="38" t="s">
        <v>151</v>
      </c>
      <c r="S127" s="38" t="s">
        <v>151</v>
      </c>
      <c r="T127" s="38" t="s">
        <v>151</v>
      </c>
      <c r="U127" s="38" t="s">
        <v>151</v>
      </c>
      <c r="V127" s="38" t="s">
        <v>151</v>
      </c>
      <c r="W127" s="38" t="s">
        <v>151</v>
      </c>
      <c r="X127" s="38" t="s">
        <v>151</v>
      </c>
      <c r="Y127" s="38" t="s">
        <v>151</v>
      </c>
      <c r="Z127" s="38" t="s">
        <v>151</v>
      </c>
      <c r="AA127" s="38" t="s">
        <v>151</v>
      </c>
      <c r="AB127" s="38" t="s">
        <v>151</v>
      </c>
      <c r="AC127" s="38" t="s">
        <v>151</v>
      </c>
      <c r="AD127" s="38" t="s">
        <v>151</v>
      </c>
      <c r="AE127" s="38" t="s">
        <v>151</v>
      </c>
      <c r="AF127" s="38" t="s">
        <v>151</v>
      </c>
      <c r="AG127" s="38" t="s">
        <v>151</v>
      </c>
      <c r="AH127" s="38" t="s">
        <v>151</v>
      </c>
      <c r="AI127" s="38" t="s">
        <v>151</v>
      </c>
      <c r="AJ127" s="38" t="s">
        <v>151</v>
      </c>
      <c r="AK127" s="38" t="s">
        <v>151</v>
      </c>
      <c r="AL127" s="38" t="s">
        <v>151</v>
      </c>
      <c r="AM127" s="38" t="s">
        <v>151</v>
      </c>
      <c r="AN127" s="38" t="s">
        <v>151</v>
      </c>
      <c r="AO127" s="38" t="s">
        <v>151</v>
      </c>
      <c r="AP127" s="38" t="s">
        <v>151</v>
      </c>
      <c r="AQ127" s="38" t="s">
        <v>151</v>
      </c>
      <c r="AR127" s="45" t="s">
        <v>190</v>
      </c>
    </row>
    <row r="128">
      <c r="A128" s="1" t="str">
        <f>IFERROR(__xludf.DUMMYFUNCTION("""COMPUTED_VALUE"""),"Punisher 2099")</f>
        <v>Punisher 2099</v>
      </c>
      <c r="B128" s="38" t="s">
        <v>151</v>
      </c>
      <c r="C128" s="38" t="s">
        <v>151</v>
      </c>
      <c r="D128" s="38" t="s">
        <v>151</v>
      </c>
      <c r="E128" s="38" t="s">
        <v>151</v>
      </c>
      <c r="F128" s="38" t="s">
        <v>151</v>
      </c>
      <c r="G128" s="38" t="s">
        <v>151</v>
      </c>
      <c r="H128" s="38" t="s">
        <v>151</v>
      </c>
      <c r="I128" s="38" t="s">
        <v>151</v>
      </c>
      <c r="J128" s="38" t="s">
        <v>151</v>
      </c>
      <c r="K128" s="38" t="s">
        <v>151</v>
      </c>
      <c r="L128" s="38" t="s">
        <v>151</v>
      </c>
      <c r="M128" s="38" t="s">
        <v>151</v>
      </c>
      <c r="N128" s="38" t="s">
        <v>151</v>
      </c>
      <c r="O128" s="38" t="s">
        <v>151</v>
      </c>
      <c r="P128" s="38" t="s">
        <v>151</v>
      </c>
      <c r="Q128" s="38" t="s">
        <v>151</v>
      </c>
      <c r="R128" s="38" t="s">
        <v>151</v>
      </c>
      <c r="S128" s="38" t="s">
        <v>151</v>
      </c>
      <c r="T128" s="38" t="s">
        <v>151</v>
      </c>
      <c r="U128" s="38" t="s">
        <v>151</v>
      </c>
      <c r="V128" s="38" t="s">
        <v>151</v>
      </c>
      <c r="W128" s="38" t="s">
        <v>151</v>
      </c>
      <c r="X128" s="38" t="s">
        <v>151</v>
      </c>
      <c r="Y128" s="38" t="s">
        <v>151</v>
      </c>
      <c r="Z128" s="45" t="s">
        <v>190</v>
      </c>
      <c r="AA128" s="38" t="s">
        <v>151</v>
      </c>
      <c r="AB128" s="38" t="s">
        <v>151</v>
      </c>
      <c r="AC128" s="38" t="s">
        <v>151</v>
      </c>
      <c r="AD128" s="38" t="s">
        <v>151</v>
      </c>
      <c r="AE128" s="38" t="s">
        <v>151</v>
      </c>
      <c r="AF128" s="38" t="s">
        <v>151</v>
      </c>
      <c r="AG128" s="38" t="s">
        <v>151</v>
      </c>
      <c r="AH128" s="38" t="s">
        <v>151</v>
      </c>
      <c r="AI128" s="38" t="s">
        <v>151</v>
      </c>
      <c r="AJ128" s="38" t="s">
        <v>151</v>
      </c>
      <c r="AK128" s="38" t="s">
        <v>151</v>
      </c>
      <c r="AL128" s="38" t="s">
        <v>151</v>
      </c>
      <c r="AM128" s="38" t="s">
        <v>151</v>
      </c>
      <c r="AN128" s="38" t="s">
        <v>151</v>
      </c>
      <c r="AO128" s="45" t="s">
        <v>190</v>
      </c>
      <c r="AP128" s="38" t="s">
        <v>151</v>
      </c>
      <c r="AQ128" s="38" t="s">
        <v>151</v>
      </c>
      <c r="AR128" s="38" t="s">
        <v>151</v>
      </c>
    </row>
    <row r="129">
      <c r="A129" s="1" t="str">
        <f>IFERROR(__xludf.DUMMYFUNCTION("""COMPUTED_VALUE"""),"Purgatory")</f>
        <v>Purgatory</v>
      </c>
      <c r="B129" s="38" t="s">
        <v>151</v>
      </c>
      <c r="C129" s="38" t="s">
        <v>151</v>
      </c>
      <c r="D129" s="38" t="s">
        <v>151</v>
      </c>
      <c r="E129" s="38" t="s">
        <v>151</v>
      </c>
      <c r="F129" s="45" t="s">
        <v>190</v>
      </c>
      <c r="G129" s="38" t="s">
        <v>151</v>
      </c>
      <c r="H129" s="38" t="s">
        <v>151</v>
      </c>
      <c r="I129" s="38" t="s">
        <v>151</v>
      </c>
      <c r="J129" s="38" t="s">
        <v>151</v>
      </c>
      <c r="K129" s="38" t="s">
        <v>151</v>
      </c>
      <c r="L129" s="38" t="s">
        <v>151</v>
      </c>
      <c r="M129" s="38" t="s">
        <v>151</v>
      </c>
      <c r="N129" s="38" t="s">
        <v>151</v>
      </c>
      <c r="O129" s="38" t="s">
        <v>151</v>
      </c>
      <c r="P129" s="38" t="s">
        <v>151</v>
      </c>
      <c r="Q129" s="38" t="s">
        <v>151</v>
      </c>
      <c r="R129" s="38" t="s">
        <v>151</v>
      </c>
      <c r="S129" s="38" t="s">
        <v>151</v>
      </c>
      <c r="T129" s="45" t="s">
        <v>190</v>
      </c>
      <c r="U129" s="38" t="s">
        <v>151</v>
      </c>
      <c r="V129" s="38" t="s">
        <v>151</v>
      </c>
      <c r="W129" s="38" t="s">
        <v>151</v>
      </c>
      <c r="X129" s="38" t="s">
        <v>151</v>
      </c>
      <c r="Y129" s="38" t="s">
        <v>151</v>
      </c>
      <c r="Z129" s="38" t="s">
        <v>151</v>
      </c>
      <c r="AA129" s="38" t="s">
        <v>151</v>
      </c>
      <c r="AB129" s="38" t="s">
        <v>151</v>
      </c>
      <c r="AC129" s="38" t="s">
        <v>151</v>
      </c>
      <c r="AD129" s="38" t="s">
        <v>151</v>
      </c>
      <c r="AE129" s="38" t="s">
        <v>151</v>
      </c>
      <c r="AF129" s="38" t="s">
        <v>151</v>
      </c>
      <c r="AG129" s="38" t="s">
        <v>151</v>
      </c>
      <c r="AH129" s="38" t="s">
        <v>151</v>
      </c>
      <c r="AI129" s="38" t="s">
        <v>151</v>
      </c>
      <c r="AJ129" s="38" t="s">
        <v>151</v>
      </c>
      <c r="AK129" s="38" t="s">
        <v>151</v>
      </c>
      <c r="AL129" s="38" t="s">
        <v>151</v>
      </c>
      <c r="AM129" s="38" t="s">
        <v>151</v>
      </c>
      <c r="AN129" s="38" t="s">
        <v>151</v>
      </c>
      <c r="AO129" s="38" t="s">
        <v>151</v>
      </c>
      <c r="AP129" s="38" t="s">
        <v>151</v>
      </c>
      <c r="AQ129" s="38" t="s">
        <v>151</v>
      </c>
      <c r="AR129" s="38" t="s">
        <v>151</v>
      </c>
    </row>
    <row r="130">
      <c r="A130" s="1" t="str">
        <f>IFERROR(__xludf.DUMMYFUNCTION("""COMPUTED_VALUE"""),"Quake")</f>
        <v>Quake</v>
      </c>
      <c r="B130" s="38" t="s">
        <v>151</v>
      </c>
      <c r="C130" s="38" t="s">
        <v>151</v>
      </c>
      <c r="D130" s="38" t="s">
        <v>151</v>
      </c>
      <c r="E130" s="38" t="s">
        <v>151</v>
      </c>
      <c r="F130" s="38" t="s">
        <v>151</v>
      </c>
      <c r="G130" s="38" t="s">
        <v>151</v>
      </c>
      <c r="H130" s="38" t="s">
        <v>151</v>
      </c>
      <c r="I130" s="38" t="s">
        <v>151</v>
      </c>
      <c r="J130" s="38" t="s">
        <v>151</v>
      </c>
      <c r="K130" s="38" t="s">
        <v>151</v>
      </c>
      <c r="L130" s="38" t="s">
        <v>151</v>
      </c>
      <c r="M130" s="38" t="s">
        <v>151</v>
      </c>
      <c r="N130" s="38" t="s">
        <v>151</v>
      </c>
      <c r="O130" s="38" t="s">
        <v>151</v>
      </c>
      <c r="P130" s="38" t="s">
        <v>151</v>
      </c>
      <c r="Q130" s="38" t="s">
        <v>151</v>
      </c>
      <c r="R130" s="38" t="s">
        <v>151</v>
      </c>
      <c r="S130" s="38" t="s">
        <v>151</v>
      </c>
      <c r="T130" s="38" t="s">
        <v>151</v>
      </c>
      <c r="U130" s="38" t="s">
        <v>151</v>
      </c>
      <c r="V130" s="38" t="s">
        <v>151</v>
      </c>
      <c r="W130" s="38" t="s">
        <v>151</v>
      </c>
      <c r="X130" s="38" t="s">
        <v>151</v>
      </c>
      <c r="Y130" s="38" t="s">
        <v>151</v>
      </c>
      <c r="Z130" s="38" t="s">
        <v>151</v>
      </c>
      <c r="AA130" s="38" t="s">
        <v>151</v>
      </c>
      <c r="AB130" s="45" t="s">
        <v>190</v>
      </c>
      <c r="AC130" s="38" t="s">
        <v>151</v>
      </c>
      <c r="AD130" s="38" t="s">
        <v>151</v>
      </c>
      <c r="AE130" s="38" t="s">
        <v>151</v>
      </c>
      <c r="AF130" s="38" t="s">
        <v>151</v>
      </c>
      <c r="AG130" s="38" t="s">
        <v>151</v>
      </c>
      <c r="AH130" s="38" t="s">
        <v>151</v>
      </c>
      <c r="AI130" s="38" t="s">
        <v>151</v>
      </c>
      <c r="AJ130" s="38" t="s">
        <v>151</v>
      </c>
      <c r="AK130" s="38" t="s">
        <v>151</v>
      </c>
      <c r="AL130" s="38" t="s">
        <v>151</v>
      </c>
      <c r="AM130" s="38" t="s">
        <v>151</v>
      </c>
      <c r="AN130" s="38" t="s">
        <v>151</v>
      </c>
      <c r="AO130" s="38" t="s">
        <v>151</v>
      </c>
      <c r="AP130" s="38" t="s">
        <v>151</v>
      </c>
      <c r="AQ130" s="38" t="s">
        <v>151</v>
      </c>
      <c r="AR130" s="38" t="s">
        <v>151</v>
      </c>
    </row>
    <row r="131">
      <c r="A131" s="1" t="str">
        <f>IFERROR(__xludf.DUMMYFUNCTION("""COMPUTED_VALUE"""),"Red Goblin")</f>
        <v>Red Goblin</v>
      </c>
      <c r="B131" s="38" t="s">
        <v>151</v>
      </c>
      <c r="C131" s="38" t="s">
        <v>151</v>
      </c>
      <c r="D131" s="38" t="s">
        <v>151</v>
      </c>
      <c r="E131" s="38" t="s">
        <v>151</v>
      </c>
      <c r="F131" s="38" t="s">
        <v>151</v>
      </c>
      <c r="G131" s="38" t="s">
        <v>151</v>
      </c>
      <c r="H131" s="38" t="s">
        <v>151</v>
      </c>
      <c r="I131" s="38" t="s">
        <v>151</v>
      </c>
      <c r="J131" s="38" t="s">
        <v>151</v>
      </c>
      <c r="K131" s="38" t="s">
        <v>151</v>
      </c>
      <c r="L131" s="38" t="s">
        <v>151</v>
      </c>
      <c r="M131" s="38" t="s">
        <v>151</v>
      </c>
      <c r="N131" s="38" t="s">
        <v>151</v>
      </c>
      <c r="O131" s="38" t="s">
        <v>151</v>
      </c>
      <c r="P131" s="38" t="s">
        <v>151</v>
      </c>
      <c r="Q131" s="38" t="s">
        <v>151</v>
      </c>
      <c r="R131" s="38" t="s">
        <v>151</v>
      </c>
      <c r="S131" s="38" t="s">
        <v>151</v>
      </c>
      <c r="T131" s="45" t="s">
        <v>190</v>
      </c>
      <c r="U131" s="38" t="s">
        <v>151</v>
      </c>
      <c r="V131" s="38" t="s">
        <v>151</v>
      </c>
      <c r="W131" s="38" t="s">
        <v>151</v>
      </c>
      <c r="X131" s="38" t="s">
        <v>151</v>
      </c>
      <c r="Y131" s="38" t="s">
        <v>151</v>
      </c>
      <c r="Z131" s="38" t="s">
        <v>151</v>
      </c>
      <c r="AA131" s="38" t="s">
        <v>151</v>
      </c>
      <c r="AB131" s="38" t="s">
        <v>151</v>
      </c>
      <c r="AC131" s="45" t="s">
        <v>190</v>
      </c>
      <c r="AD131" s="38" t="s">
        <v>151</v>
      </c>
      <c r="AE131" s="38" t="s">
        <v>151</v>
      </c>
      <c r="AF131" s="38" t="s">
        <v>151</v>
      </c>
      <c r="AG131" s="38" t="s">
        <v>151</v>
      </c>
      <c r="AH131" s="38" t="s">
        <v>151</v>
      </c>
      <c r="AI131" s="38" t="s">
        <v>151</v>
      </c>
      <c r="AJ131" s="38" t="s">
        <v>151</v>
      </c>
      <c r="AK131" s="38" t="s">
        <v>151</v>
      </c>
      <c r="AL131" s="38" t="s">
        <v>151</v>
      </c>
      <c r="AM131" s="38" t="s">
        <v>151</v>
      </c>
      <c r="AN131" s="38" t="s">
        <v>151</v>
      </c>
      <c r="AO131" s="38" t="s">
        <v>151</v>
      </c>
      <c r="AP131" s="38" t="s">
        <v>151</v>
      </c>
      <c r="AQ131" s="38" t="s">
        <v>151</v>
      </c>
      <c r="AR131" s="38" t="s">
        <v>151</v>
      </c>
    </row>
    <row r="132">
      <c r="A132" s="1" t="str">
        <f>IFERROR(__xludf.DUMMYFUNCTION("""COMPUTED_VALUE"""),"Red Guardian")</f>
        <v>Red Guardian</v>
      </c>
      <c r="B132" s="38" t="s">
        <v>151</v>
      </c>
      <c r="C132" s="38" t="s">
        <v>151</v>
      </c>
      <c r="D132" s="38" t="s">
        <v>151</v>
      </c>
      <c r="E132" s="38" t="s">
        <v>151</v>
      </c>
      <c r="F132" s="38" t="s">
        <v>151</v>
      </c>
      <c r="G132" s="45" t="s">
        <v>190</v>
      </c>
      <c r="H132" s="38" t="s">
        <v>151</v>
      </c>
      <c r="I132" s="38" t="s">
        <v>151</v>
      </c>
      <c r="J132" s="38" t="s">
        <v>151</v>
      </c>
      <c r="K132" s="38" t="s">
        <v>151</v>
      </c>
      <c r="L132" s="38" t="s">
        <v>151</v>
      </c>
      <c r="M132" s="38" t="s">
        <v>151</v>
      </c>
      <c r="N132" s="38" t="s">
        <v>151</v>
      </c>
      <c r="O132" s="38" t="s">
        <v>151</v>
      </c>
      <c r="P132" s="38" t="s">
        <v>151</v>
      </c>
      <c r="Q132" s="38" t="s">
        <v>151</v>
      </c>
      <c r="R132" s="38" t="s">
        <v>151</v>
      </c>
      <c r="S132" s="38" t="s">
        <v>151</v>
      </c>
      <c r="T132" s="38" t="s">
        <v>151</v>
      </c>
      <c r="U132" s="38" t="s">
        <v>151</v>
      </c>
      <c r="V132" s="38" t="s">
        <v>151</v>
      </c>
      <c r="W132" s="38" t="s">
        <v>151</v>
      </c>
      <c r="X132" s="38" t="s">
        <v>151</v>
      </c>
      <c r="Y132" s="38" t="s">
        <v>151</v>
      </c>
      <c r="Z132" s="38" t="s">
        <v>151</v>
      </c>
      <c r="AA132" s="38" t="s">
        <v>151</v>
      </c>
      <c r="AB132" s="38" t="s">
        <v>151</v>
      </c>
      <c r="AC132" s="38" t="s">
        <v>151</v>
      </c>
      <c r="AD132" s="38" t="s">
        <v>151</v>
      </c>
      <c r="AE132" s="38" t="s">
        <v>151</v>
      </c>
      <c r="AF132" s="38" t="s">
        <v>151</v>
      </c>
      <c r="AG132" s="38" t="s">
        <v>151</v>
      </c>
      <c r="AH132" s="38" t="s">
        <v>151</v>
      </c>
      <c r="AI132" s="38" t="s">
        <v>151</v>
      </c>
      <c r="AJ132" s="38" t="s">
        <v>151</v>
      </c>
      <c r="AK132" s="38" t="s">
        <v>151</v>
      </c>
      <c r="AL132" s="38" t="s">
        <v>151</v>
      </c>
      <c r="AM132" s="38" t="s">
        <v>151</v>
      </c>
      <c r="AN132" s="38" t="s">
        <v>151</v>
      </c>
      <c r="AO132" s="38" t="s">
        <v>151</v>
      </c>
      <c r="AP132" s="38" t="s">
        <v>151</v>
      </c>
      <c r="AQ132" s="38" t="s">
        <v>151</v>
      </c>
      <c r="AR132" s="38" t="s">
        <v>151</v>
      </c>
    </row>
    <row r="133">
      <c r="A133" s="1" t="str">
        <f>IFERROR(__xludf.DUMMYFUNCTION("""COMPUTED_VALUE"""),"Red Hulk")</f>
        <v>Red Hulk</v>
      </c>
      <c r="B133" s="38" t="s">
        <v>151</v>
      </c>
      <c r="C133" s="38" t="s">
        <v>151</v>
      </c>
      <c r="D133" s="38" t="s">
        <v>151</v>
      </c>
      <c r="E133" s="38" t="s">
        <v>151</v>
      </c>
      <c r="F133" s="38" t="s">
        <v>151</v>
      </c>
      <c r="G133" s="38" t="s">
        <v>151</v>
      </c>
      <c r="H133" s="38" t="s">
        <v>151</v>
      </c>
      <c r="I133" s="38" t="s">
        <v>151</v>
      </c>
      <c r="J133" s="38" t="s">
        <v>151</v>
      </c>
      <c r="K133" s="38" t="s">
        <v>151</v>
      </c>
      <c r="L133" s="38" t="s">
        <v>151</v>
      </c>
      <c r="M133" s="38" t="s">
        <v>151</v>
      </c>
      <c r="N133" s="38" t="s">
        <v>151</v>
      </c>
      <c r="O133" s="38" t="s">
        <v>151</v>
      </c>
      <c r="P133" s="38" t="s">
        <v>151</v>
      </c>
      <c r="Q133" s="38" t="s">
        <v>151</v>
      </c>
      <c r="R133" s="38" t="s">
        <v>151</v>
      </c>
      <c r="S133" s="38" t="s">
        <v>151</v>
      </c>
      <c r="T133" s="45" t="s">
        <v>190</v>
      </c>
      <c r="U133" s="38" t="s">
        <v>151</v>
      </c>
      <c r="V133" s="38" t="s">
        <v>151</v>
      </c>
      <c r="W133" s="38" t="s">
        <v>151</v>
      </c>
      <c r="X133" s="38" t="s">
        <v>151</v>
      </c>
      <c r="Y133" s="38" t="s">
        <v>151</v>
      </c>
      <c r="Z133" s="38" t="s">
        <v>151</v>
      </c>
      <c r="AA133" s="38" t="s">
        <v>151</v>
      </c>
      <c r="AB133" s="45" t="s">
        <v>190</v>
      </c>
      <c r="AC133" s="38" t="s">
        <v>151</v>
      </c>
      <c r="AD133" s="38" t="s">
        <v>151</v>
      </c>
      <c r="AE133" s="38" t="s">
        <v>151</v>
      </c>
      <c r="AF133" s="38" t="s">
        <v>151</v>
      </c>
      <c r="AG133" s="38" t="s">
        <v>151</v>
      </c>
      <c r="AH133" s="38" t="s">
        <v>151</v>
      </c>
      <c r="AI133" s="38" t="s">
        <v>151</v>
      </c>
      <c r="AJ133" s="38" t="s">
        <v>151</v>
      </c>
      <c r="AK133" s="38" t="s">
        <v>151</v>
      </c>
      <c r="AL133" s="38" t="s">
        <v>151</v>
      </c>
      <c r="AM133" s="38" t="s">
        <v>151</v>
      </c>
      <c r="AN133" s="38" t="s">
        <v>151</v>
      </c>
      <c r="AO133" s="38" t="s">
        <v>151</v>
      </c>
      <c r="AP133" s="38" t="s">
        <v>151</v>
      </c>
      <c r="AQ133" s="38" t="s">
        <v>151</v>
      </c>
      <c r="AR133" s="38" t="s">
        <v>151</v>
      </c>
    </row>
    <row r="134">
      <c r="A134" s="1" t="str">
        <f>IFERROR(__xludf.DUMMYFUNCTION("""COMPUTED_VALUE"""),"Red Skull")</f>
        <v>Red Skull</v>
      </c>
      <c r="B134" s="45" t="s">
        <v>190</v>
      </c>
      <c r="C134" s="38" t="s">
        <v>151</v>
      </c>
      <c r="D134" s="38" t="s">
        <v>151</v>
      </c>
      <c r="E134" s="38" t="s">
        <v>151</v>
      </c>
      <c r="F134" s="38" t="s">
        <v>151</v>
      </c>
      <c r="G134" s="38" t="s">
        <v>151</v>
      </c>
      <c r="H134" s="38" t="s">
        <v>151</v>
      </c>
      <c r="I134" s="38" t="s">
        <v>151</v>
      </c>
      <c r="J134" s="38" t="s">
        <v>151</v>
      </c>
      <c r="K134" s="38" t="s">
        <v>151</v>
      </c>
      <c r="L134" s="38" t="s">
        <v>151</v>
      </c>
      <c r="M134" s="38" t="s">
        <v>151</v>
      </c>
      <c r="N134" s="38" t="s">
        <v>151</v>
      </c>
      <c r="O134" s="38" t="s">
        <v>151</v>
      </c>
      <c r="P134" s="45" t="s">
        <v>190</v>
      </c>
      <c r="Q134" s="38" t="s">
        <v>151</v>
      </c>
      <c r="R134" s="38" t="s">
        <v>151</v>
      </c>
      <c r="S134" s="38" t="s">
        <v>151</v>
      </c>
      <c r="T134" s="38" t="s">
        <v>151</v>
      </c>
      <c r="U134" s="38" t="s">
        <v>151</v>
      </c>
      <c r="V134" s="38" t="s">
        <v>151</v>
      </c>
      <c r="W134" s="38" t="s">
        <v>151</v>
      </c>
      <c r="X134" s="38" t="s">
        <v>151</v>
      </c>
      <c r="Y134" s="38" t="s">
        <v>151</v>
      </c>
      <c r="Z134" s="45" t="s">
        <v>190</v>
      </c>
      <c r="AA134" s="38" t="s">
        <v>151</v>
      </c>
      <c r="AB134" s="38" t="s">
        <v>151</v>
      </c>
      <c r="AC134" s="38" t="s">
        <v>151</v>
      </c>
      <c r="AD134" s="38" t="s">
        <v>151</v>
      </c>
      <c r="AE134" s="38" t="s">
        <v>151</v>
      </c>
      <c r="AF134" s="38" t="s">
        <v>151</v>
      </c>
      <c r="AG134" s="38" t="s">
        <v>151</v>
      </c>
      <c r="AH134" s="38" t="s">
        <v>151</v>
      </c>
      <c r="AI134" s="38" t="s">
        <v>151</v>
      </c>
      <c r="AJ134" s="38" t="s">
        <v>151</v>
      </c>
      <c r="AK134" s="38" t="s">
        <v>151</v>
      </c>
      <c r="AL134" s="38" t="s">
        <v>151</v>
      </c>
      <c r="AM134" s="38" t="s">
        <v>151</v>
      </c>
      <c r="AN134" s="38" t="s">
        <v>151</v>
      </c>
      <c r="AO134" s="45" t="s">
        <v>190</v>
      </c>
      <c r="AP134" s="38" t="s">
        <v>151</v>
      </c>
      <c r="AQ134" s="38" t="s">
        <v>151</v>
      </c>
      <c r="AR134" s="38" t="s">
        <v>151</v>
      </c>
    </row>
    <row r="135">
      <c r="A135" s="1" t="str">
        <f>IFERROR(__xludf.DUMMYFUNCTION("""COMPUTED_VALUE"""),"Rintrah")</f>
        <v>Rintrah</v>
      </c>
      <c r="B135" s="38" t="s">
        <v>151</v>
      </c>
      <c r="C135" s="38" t="s">
        <v>151</v>
      </c>
      <c r="D135" s="38" t="s">
        <v>151</v>
      </c>
      <c r="E135" s="38" t="s">
        <v>151</v>
      </c>
      <c r="F135" s="38" t="s">
        <v>151</v>
      </c>
      <c r="G135" s="38" t="s">
        <v>151</v>
      </c>
      <c r="H135" s="38" t="s">
        <v>151</v>
      </c>
      <c r="I135" s="38" t="s">
        <v>151</v>
      </c>
      <c r="J135" s="38" t="s">
        <v>151</v>
      </c>
      <c r="K135" s="38" t="s">
        <v>151</v>
      </c>
      <c r="L135" s="38" t="s">
        <v>151</v>
      </c>
      <c r="M135" s="38" t="s">
        <v>151</v>
      </c>
      <c r="N135" s="38" t="s">
        <v>151</v>
      </c>
      <c r="O135" s="38" t="s">
        <v>151</v>
      </c>
      <c r="P135" s="38" t="s">
        <v>151</v>
      </c>
      <c r="Q135" s="38" t="s">
        <v>151</v>
      </c>
      <c r="R135" s="38" t="s">
        <v>151</v>
      </c>
      <c r="S135" s="38" t="s">
        <v>151</v>
      </c>
      <c r="T135" s="38" t="s">
        <v>151</v>
      </c>
      <c r="U135" s="38" t="s">
        <v>151</v>
      </c>
      <c r="V135" s="38" t="s">
        <v>151</v>
      </c>
      <c r="W135" s="38" t="s">
        <v>151</v>
      </c>
      <c r="X135" s="38" t="s">
        <v>151</v>
      </c>
      <c r="Y135" s="38" t="s">
        <v>151</v>
      </c>
      <c r="Z135" s="38" t="s">
        <v>151</v>
      </c>
      <c r="AA135" s="38" t="s">
        <v>151</v>
      </c>
      <c r="AB135" s="38" t="s">
        <v>151</v>
      </c>
      <c r="AC135" s="38" t="s">
        <v>151</v>
      </c>
      <c r="AD135" s="38" t="s">
        <v>151</v>
      </c>
      <c r="AE135" s="38" t="s">
        <v>151</v>
      </c>
      <c r="AF135" s="38" t="s">
        <v>151</v>
      </c>
      <c r="AG135" s="38" t="s">
        <v>151</v>
      </c>
      <c r="AH135" s="38" t="s">
        <v>151</v>
      </c>
      <c r="AI135" s="38" t="s">
        <v>151</v>
      </c>
      <c r="AJ135" s="38" t="s">
        <v>151</v>
      </c>
      <c r="AK135" s="38" t="s">
        <v>151</v>
      </c>
      <c r="AL135" s="38" t="s">
        <v>151</v>
      </c>
      <c r="AM135" s="38" t="s">
        <v>151</v>
      </c>
      <c r="AN135" s="38" t="s">
        <v>151</v>
      </c>
      <c r="AO135" s="38" t="s">
        <v>151</v>
      </c>
      <c r="AP135" s="45" t="s">
        <v>190</v>
      </c>
      <c r="AQ135" s="38" t="s">
        <v>151</v>
      </c>
      <c r="AR135" s="38" t="s">
        <v>151</v>
      </c>
    </row>
    <row r="136">
      <c r="A136" s="1" t="str">
        <f>IFERROR(__xludf.DUMMYFUNCTION("""COMPUTED_VALUE"""),"Rogue")</f>
        <v>Rogue</v>
      </c>
      <c r="B136" s="38" t="s">
        <v>151</v>
      </c>
      <c r="C136" s="38" t="s">
        <v>151</v>
      </c>
      <c r="D136" s="38" t="s">
        <v>151</v>
      </c>
      <c r="E136" s="38" t="s">
        <v>151</v>
      </c>
      <c r="F136" s="38" t="s">
        <v>151</v>
      </c>
      <c r="G136" s="38" t="s">
        <v>151</v>
      </c>
      <c r="H136" s="38" t="s">
        <v>151</v>
      </c>
      <c r="I136" s="38" t="s">
        <v>151</v>
      </c>
      <c r="J136" s="38" t="s">
        <v>151</v>
      </c>
      <c r="K136" s="38" t="s">
        <v>151</v>
      </c>
      <c r="L136" s="38" t="s">
        <v>151</v>
      </c>
      <c r="M136" s="38" t="s">
        <v>151</v>
      </c>
      <c r="N136" s="38" t="s">
        <v>151</v>
      </c>
      <c r="O136" s="38" t="s">
        <v>151</v>
      </c>
      <c r="P136" s="38" t="s">
        <v>151</v>
      </c>
      <c r="Q136" s="38" t="s">
        <v>151</v>
      </c>
      <c r="R136" s="38" t="s">
        <v>151</v>
      </c>
      <c r="S136" s="38" t="s">
        <v>151</v>
      </c>
      <c r="T136" s="38" t="s">
        <v>151</v>
      </c>
      <c r="U136" s="38" t="s">
        <v>151</v>
      </c>
      <c r="V136" s="38" t="s">
        <v>151</v>
      </c>
      <c r="W136" s="38" t="s">
        <v>151</v>
      </c>
      <c r="X136" s="38" t="s">
        <v>151</v>
      </c>
      <c r="Y136" s="38" t="s">
        <v>151</v>
      </c>
      <c r="Z136" s="38" t="s">
        <v>151</v>
      </c>
      <c r="AA136" s="38" t="s">
        <v>151</v>
      </c>
      <c r="AB136" s="38" t="s">
        <v>151</v>
      </c>
      <c r="AC136" s="38" t="s">
        <v>151</v>
      </c>
      <c r="AD136" s="38" t="s">
        <v>151</v>
      </c>
      <c r="AE136" s="38" t="s">
        <v>151</v>
      </c>
      <c r="AF136" s="38" t="s">
        <v>151</v>
      </c>
      <c r="AG136" s="38" t="s">
        <v>151</v>
      </c>
      <c r="AH136" s="38" t="s">
        <v>151</v>
      </c>
      <c r="AI136" s="45" t="s">
        <v>190</v>
      </c>
      <c r="AJ136" s="38" t="s">
        <v>151</v>
      </c>
      <c r="AK136" s="38" t="s">
        <v>151</v>
      </c>
      <c r="AL136" s="38" t="s">
        <v>151</v>
      </c>
      <c r="AM136" s="38" t="s">
        <v>151</v>
      </c>
      <c r="AN136" s="38" t="s">
        <v>151</v>
      </c>
      <c r="AO136" s="38" t="s">
        <v>151</v>
      </c>
      <c r="AP136" s="38" t="s">
        <v>151</v>
      </c>
      <c r="AQ136" s="38" t="s">
        <v>151</v>
      </c>
      <c r="AR136" s="38" t="s">
        <v>151</v>
      </c>
    </row>
    <row r="137">
      <c r="A137" s="1" t="str">
        <f>IFERROR(__xludf.DUMMYFUNCTION("""COMPUTED_VALUE"""),"Ronan")</f>
        <v>Ronan</v>
      </c>
      <c r="B137" s="38" t="s">
        <v>151</v>
      </c>
      <c r="C137" s="38" t="s">
        <v>151</v>
      </c>
      <c r="D137" s="38" t="s">
        <v>151</v>
      </c>
      <c r="E137" s="38" t="s">
        <v>151</v>
      </c>
      <c r="F137" s="38" t="s">
        <v>151</v>
      </c>
      <c r="G137" s="38" t="s">
        <v>151</v>
      </c>
      <c r="H137" s="38" t="s">
        <v>151</v>
      </c>
      <c r="I137" s="38" t="s">
        <v>151</v>
      </c>
      <c r="J137" s="38" t="s">
        <v>151</v>
      </c>
      <c r="K137" s="38" t="s">
        <v>151</v>
      </c>
      <c r="L137" s="38" t="s">
        <v>151</v>
      </c>
      <c r="M137" s="38" t="s">
        <v>151</v>
      </c>
      <c r="N137" s="38" t="s">
        <v>151</v>
      </c>
      <c r="O137" s="38" t="s">
        <v>151</v>
      </c>
      <c r="P137" s="38" t="s">
        <v>151</v>
      </c>
      <c r="Q137" s="38" t="s">
        <v>151</v>
      </c>
      <c r="R137" s="38" t="s">
        <v>151</v>
      </c>
      <c r="S137" s="38" t="s">
        <v>151</v>
      </c>
      <c r="T137" s="38" t="s">
        <v>151</v>
      </c>
      <c r="U137" s="38" t="s">
        <v>151</v>
      </c>
      <c r="V137" s="38" t="s">
        <v>151</v>
      </c>
      <c r="W137" s="38" t="s">
        <v>151</v>
      </c>
      <c r="X137" s="38" t="s">
        <v>151</v>
      </c>
      <c r="Y137" s="38" t="s">
        <v>151</v>
      </c>
      <c r="Z137" s="38" t="s">
        <v>151</v>
      </c>
      <c r="AA137" s="38" t="s">
        <v>151</v>
      </c>
      <c r="AB137" s="45" t="s">
        <v>190</v>
      </c>
      <c r="AC137" s="38" t="s">
        <v>151</v>
      </c>
      <c r="AD137" s="38" t="s">
        <v>151</v>
      </c>
      <c r="AE137" s="38" t="s">
        <v>151</v>
      </c>
      <c r="AF137" s="38" t="s">
        <v>151</v>
      </c>
      <c r="AG137" s="38" t="s">
        <v>151</v>
      </c>
      <c r="AH137" s="38" t="s">
        <v>151</v>
      </c>
      <c r="AI137" s="38" t="s">
        <v>151</v>
      </c>
      <c r="AJ137" s="38" t="s">
        <v>151</v>
      </c>
      <c r="AK137" s="38" t="s">
        <v>151</v>
      </c>
      <c r="AL137" s="38" t="s">
        <v>151</v>
      </c>
      <c r="AM137" s="38" t="s">
        <v>151</v>
      </c>
      <c r="AN137" s="38" t="s">
        <v>151</v>
      </c>
      <c r="AO137" s="38" t="s">
        <v>151</v>
      </c>
      <c r="AP137" s="38" t="s">
        <v>151</v>
      </c>
      <c r="AQ137" s="38" t="s">
        <v>151</v>
      </c>
      <c r="AR137" s="38" t="s">
        <v>151</v>
      </c>
    </row>
    <row r="138">
      <c r="A138" s="1" t="str">
        <f>IFERROR(__xludf.DUMMYFUNCTION("""COMPUTED_VALUE"""),"Ruby Thursday")</f>
        <v>Ruby Thursday</v>
      </c>
      <c r="B138" s="38" t="s">
        <v>151</v>
      </c>
      <c r="C138" s="38" t="s">
        <v>151</v>
      </c>
      <c r="D138" s="38" t="s">
        <v>151</v>
      </c>
      <c r="E138" s="38" t="s">
        <v>151</v>
      </c>
      <c r="F138" s="38" t="s">
        <v>151</v>
      </c>
      <c r="G138" s="38" t="s">
        <v>151</v>
      </c>
      <c r="H138" s="38" t="s">
        <v>151</v>
      </c>
      <c r="I138" s="38" t="s">
        <v>151</v>
      </c>
      <c r="J138" s="38" t="s">
        <v>151</v>
      </c>
      <c r="K138" s="38" t="s">
        <v>151</v>
      </c>
      <c r="L138" s="45" t="s">
        <v>190</v>
      </c>
      <c r="M138" s="38" t="s">
        <v>151</v>
      </c>
      <c r="N138" s="38" t="s">
        <v>151</v>
      </c>
      <c r="O138" s="38" t="s">
        <v>151</v>
      </c>
      <c r="P138" s="38" t="s">
        <v>151</v>
      </c>
      <c r="Q138" s="38" t="s">
        <v>151</v>
      </c>
      <c r="R138" s="38" t="s">
        <v>151</v>
      </c>
      <c r="S138" s="38" t="s">
        <v>151</v>
      </c>
      <c r="T138" s="38" t="s">
        <v>151</v>
      </c>
      <c r="U138" s="38" t="s">
        <v>151</v>
      </c>
      <c r="V138" s="38" t="s">
        <v>151</v>
      </c>
      <c r="W138" s="38" t="s">
        <v>151</v>
      </c>
      <c r="X138" s="38" t="s">
        <v>151</v>
      </c>
      <c r="Y138" s="38" t="s">
        <v>151</v>
      </c>
      <c r="Z138" s="38" t="s">
        <v>151</v>
      </c>
      <c r="AA138" s="38" t="s">
        <v>151</v>
      </c>
      <c r="AB138" s="38" t="s">
        <v>151</v>
      </c>
      <c r="AC138" s="38" t="s">
        <v>151</v>
      </c>
      <c r="AD138" s="38" t="s">
        <v>151</v>
      </c>
      <c r="AE138" s="38" t="s">
        <v>151</v>
      </c>
      <c r="AF138" s="38" t="s">
        <v>151</v>
      </c>
      <c r="AG138" s="38" t="s">
        <v>151</v>
      </c>
      <c r="AH138" s="38" t="s">
        <v>151</v>
      </c>
      <c r="AI138" s="38" t="s">
        <v>151</v>
      </c>
      <c r="AJ138" s="38" t="s">
        <v>151</v>
      </c>
      <c r="AK138" s="38" t="s">
        <v>151</v>
      </c>
      <c r="AL138" s="38" t="s">
        <v>151</v>
      </c>
      <c r="AM138" s="38" t="s">
        <v>151</v>
      </c>
      <c r="AN138" s="38" t="s">
        <v>151</v>
      </c>
      <c r="AO138" s="38" t="s">
        <v>151</v>
      </c>
      <c r="AP138" s="38" t="s">
        <v>151</v>
      </c>
      <c r="AQ138" s="38" t="s">
        <v>151</v>
      </c>
      <c r="AR138" s="38" t="s">
        <v>151</v>
      </c>
    </row>
    <row r="139">
      <c r="A139" s="1" t="str">
        <f>IFERROR(__xludf.DUMMYFUNCTION("""COMPUTED_VALUE"""),"Sabretooth")</f>
        <v>Sabretooth</v>
      </c>
      <c r="B139" s="38" t="s">
        <v>151</v>
      </c>
      <c r="C139" s="38" t="s">
        <v>151</v>
      </c>
      <c r="D139" s="38" t="s">
        <v>151</v>
      </c>
      <c r="E139" s="38" t="s">
        <v>151</v>
      </c>
      <c r="F139" s="38" t="s">
        <v>151</v>
      </c>
      <c r="G139" s="38" t="s">
        <v>151</v>
      </c>
      <c r="H139" s="45" t="s">
        <v>190</v>
      </c>
      <c r="I139" s="38" t="s">
        <v>151</v>
      </c>
      <c r="J139" s="38" t="s">
        <v>151</v>
      </c>
      <c r="K139" s="38" t="s">
        <v>151</v>
      </c>
      <c r="L139" s="38" t="s">
        <v>151</v>
      </c>
      <c r="M139" s="38" t="s">
        <v>151</v>
      </c>
      <c r="N139" s="38" t="s">
        <v>151</v>
      </c>
      <c r="O139" s="38" t="s">
        <v>151</v>
      </c>
      <c r="P139" s="38" t="s">
        <v>151</v>
      </c>
      <c r="Q139" s="38" t="s">
        <v>151</v>
      </c>
      <c r="R139" s="45" t="s">
        <v>190</v>
      </c>
      <c r="S139" s="38" t="s">
        <v>151</v>
      </c>
      <c r="T139" s="38" t="s">
        <v>151</v>
      </c>
      <c r="U139" s="38" t="s">
        <v>151</v>
      </c>
      <c r="V139" s="38" t="s">
        <v>151</v>
      </c>
      <c r="W139" s="38" t="s">
        <v>151</v>
      </c>
      <c r="X139" s="38" t="s">
        <v>151</v>
      </c>
      <c r="Y139" s="38" t="s">
        <v>151</v>
      </c>
      <c r="Z139" s="38" t="s">
        <v>151</v>
      </c>
      <c r="AA139" s="38" t="s">
        <v>151</v>
      </c>
      <c r="AB139" s="38" t="s">
        <v>151</v>
      </c>
      <c r="AC139" s="38" t="s">
        <v>151</v>
      </c>
      <c r="AD139" s="38" t="s">
        <v>151</v>
      </c>
      <c r="AE139" s="38" t="s">
        <v>151</v>
      </c>
      <c r="AF139" s="38" t="s">
        <v>151</v>
      </c>
      <c r="AG139" s="38" t="s">
        <v>151</v>
      </c>
      <c r="AH139" s="38" t="s">
        <v>151</v>
      </c>
      <c r="AI139" s="38" t="s">
        <v>151</v>
      </c>
      <c r="AJ139" s="38" t="s">
        <v>151</v>
      </c>
      <c r="AK139" s="38" t="s">
        <v>151</v>
      </c>
      <c r="AL139" s="38" t="s">
        <v>151</v>
      </c>
      <c r="AM139" s="38" t="s">
        <v>151</v>
      </c>
      <c r="AN139" s="38" t="s">
        <v>151</v>
      </c>
      <c r="AO139" s="38" t="s">
        <v>151</v>
      </c>
      <c r="AP139" s="38" t="s">
        <v>151</v>
      </c>
      <c r="AQ139" s="38" t="s">
        <v>151</v>
      </c>
      <c r="AR139" s="38" t="s">
        <v>151</v>
      </c>
    </row>
    <row r="140">
      <c r="A140" s="1" t="str">
        <f>IFERROR(__xludf.DUMMYFUNCTION("""COMPUTED_VALUE"""),"Sandman")</f>
        <v>Sandman</v>
      </c>
      <c r="B140" s="38" t="s">
        <v>151</v>
      </c>
      <c r="C140" s="38" t="s">
        <v>151</v>
      </c>
      <c r="D140" s="38" t="s">
        <v>151</v>
      </c>
      <c r="E140" s="38" t="s">
        <v>151</v>
      </c>
      <c r="F140" s="45" t="s">
        <v>190</v>
      </c>
      <c r="G140" s="38" t="s">
        <v>151</v>
      </c>
      <c r="H140" s="38" t="s">
        <v>151</v>
      </c>
      <c r="I140" s="38" t="s">
        <v>151</v>
      </c>
      <c r="J140" s="38" t="s">
        <v>151</v>
      </c>
      <c r="K140" s="38" t="s">
        <v>151</v>
      </c>
      <c r="L140" s="38" t="s">
        <v>151</v>
      </c>
      <c r="M140" s="38" t="s">
        <v>151</v>
      </c>
      <c r="N140" s="38" t="s">
        <v>151</v>
      </c>
      <c r="O140" s="38" t="s">
        <v>151</v>
      </c>
      <c r="P140" s="38" t="s">
        <v>151</v>
      </c>
      <c r="Q140" s="38" t="s">
        <v>151</v>
      </c>
      <c r="R140" s="38" t="s">
        <v>151</v>
      </c>
      <c r="S140" s="38" t="s">
        <v>151</v>
      </c>
      <c r="T140" s="38" t="s">
        <v>151</v>
      </c>
      <c r="U140" s="38" t="s">
        <v>151</v>
      </c>
      <c r="V140" s="38" t="s">
        <v>151</v>
      </c>
      <c r="W140" s="38" t="s">
        <v>151</v>
      </c>
      <c r="X140" s="38" t="s">
        <v>151</v>
      </c>
      <c r="Y140" s="38" t="s">
        <v>151</v>
      </c>
      <c r="Z140" s="38" t="s">
        <v>151</v>
      </c>
      <c r="AA140" s="38" t="s">
        <v>151</v>
      </c>
      <c r="AB140" s="45" t="s">
        <v>190</v>
      </c>
      <c r="AC140" s="38" t="s">
        <v>151</v>
      </c>
      <c r="AD140" s="38" t="s">
        <v>151</v>
      </c>
      <c r="AE140" s="38" t="s">
        <v>151</v>
      </c>
      <c r="AF140" s="38" t="s">
        <v>151</v>
      </c>
      <c r="AG140" s="38" t="s">
        <v>151</v>
      </c>
      <c r="AH140" s="38" t="s">
        <v>151</v>
      </c>
      <c r="AI140" s="38" t="s">
        <v>151</v>
      </c>
      <c r="AJ140" s="38" t="s">
        <v>151</v>
      </c>
      <c r="AK140" s="45" t="s">
        <v>190</v>
      </c>
      <c r="AL140" s="38" t="s">
        <v>151</v>
      </c>
      <c r="AM140" s="38" t="s">
        <v>151</v>
      </c>
      <c r="AN140" s="38" t="s">
        <v>151</v>
      </c>
      <c r="AO140" s="38" t="s">
        <v>151</v>
      </c>
      <c r="AP140" s="38" t="s">
        <v>151</v>
      </c>
      <c r="AQ140" s="38" t="s">
        <v>151</v>
      </c>
      <c r="AR140" s="38" t="s">
        <v>151</v>
      </c>
    </row>
    <row r="141">
      <c r="A141" s="1" t="str">
        <f>IFERROR(__xludf.DUMMYFUNCTION("""COMPUTED_VALUE"""),"Sasquatch")</f>
        <v>Sasquatch</v>
      </c>
      <c r="B141" s="38" t="s">
        <v>151</v>
      </c>
      <c r="C141" s="45" t="s">
        <v>190</v>
      </c>
      <c r="D141" s="38" t="s">
        <v>151</v>
      </c>
      <c r="E141" s="38" t="s">
        <v>151</v>
      </c>
      <c r="F141" s="38" t="s">
        <v>151</v>
      </c>
      <c r="G141" s="38" t="s">
        <v>151</v>
      </c>
      <c r="H141" s="38" t="s">
        <v>151</v>
      </c>
      <c r="I141" s="38" t="s">
        <v>151</v>
      </c>
      <c r="J141" s="38" t="s">
        <v>151</v>
      </c>
      <c r="K141" s="38" t="s">
        <v>151</v>
      </c>
      <c r="L141" s="38" t="s">
        <v>151</v>
      </c>
      <c r="M141" s="38" t="s">
        <v>151</v>
      </c>
      <c r="N141" s="38" t="s">
        <v>151</v>
      </c>
      <c r="O141" s="38" t="s">
        <v>151</v>
      </c>
      <c r="P141" s="38" t="s">
        <v>151</v>
      </c>
      <c r="Q141" s="38" t="s">
        <v>151</v>
      </c>
      <c r="R141" s="45" t="s">
        <v>190</v>
      </c>
      <c r="S141" s="38" t="s">
        <v>151</v>
      </c>
      <c r="T141" s="38" t="s">
        <v>151</v>
      </c>
      <c r="U141" s="38" t="s">
        <v>151</v>
      </c>
      <c r="V141" s="38" t="s">
        <v>151</v>
      </c>
      <c r="W141" s="38" t="s">
        <v>151</v>
      </c>
      <c r="X141" s="38" t="s">
        <v>151</v>
      </c>
      <c r="Y141" s="38" t="s">
        <v>151</v>
      </c>
      <c r="Z141" s="38" t="s">
        <v>151</v>
      </c>
      <c r="AA141" s="38" t="s">
        <v>151</v>
      </c>
      <c r="AB141" s="38" t="s">
        <v>151</v>
      </c>
      <c r="AC141" s="38" t="s">
        <v>151</v>
      </c>
      <c r="AD141" s="38" t="s">
        <v>151</v>
      </c>
      <c r="AE141" s="38" t="s">
        <v>151</v>
      </c>
      <c r="AF141" s="38" t="s">
        <v>151</v>
      </c>
      <c r="AG141" s="38" t="s">
        <v>151</v>
      </c>
      <c r="AH141" s="38" t="s">
        <v>151</v>
      </c>
      <c r="AI141" s="38" t="s">
        <v>151</v>
      </c>
      <c r="AJ141" s="38" t="s">
        <v>151</v>
      </c>
      <c r="AK141" s="38" t="s">
        <v>151</v>
      </c>
      <c r="AL141" s="38" t="s">
        <v>151</v>
      </c>
      <c r="AM141" s="38" t="s">
        <v>151</v>
      </c>
      <c r="AN141" s="38" t="s">
        <v>151</v>
      </c>
      <c r="AO141" s="38" t="s">
        <v>151</v>
      </c>
      <c r="AP141" s="38" t="s">
        <v>151</v>
      </c>
      <c r="AQ141" s="38" t="s">
        <v>151</v>
      </c>
      <c r="AR141" s="38" t="s">
        <v>151</v>
      </c>
    </row>
    <row r="142">
      <c r="A142" s="1" t="str">
        <f>IFERROR(__xludf.DUMMYFUNCTION("""COMPUTED_VALUE"""),"Sauron")</f>
        <v>Sauron</v>
      </c>
      <c r="B142" s="38" t="s">
        <v>151</v>
      </c>
      <c r="C142" s="38" t="s">
        <v>151</v>
      </c>
      <c r="D142" s="38" t="s">
        <v>151</v>
      </c>
      <c r="E142" s="38" t="s">
        <v>151</v>
      </c>
      <c r="F142" s="38" t="s">
        <v>151</v>
      </c>
      <c r="G142" s="38" t="s">
        <v>151</v>
      </c>
      <c r="H142" s="38" t="s">
        <v>151</v>
      </c>
      <c r="I142" s="38" t="s">
        <v>151</v>
      </c>
      <c r="J142" s="38" t="s">
        <v>151</v>
      </c>
      <c r="K142" s="38" t="s">
        <v>151</v>
      </c>
      <c r="L142" s="38" t="s">
        <v>151</v>
      </c>
      <c r="M142" s="38" t="s">
        <v>151</v>
      </c>
      <c r="N142" s="38" t="s">
        <v>151</v>
      </c>
      <c r="O142" s="38" t="s">
        <v>151</v>
      </c>
      <c r="P142" s="38" t="s">
        <v>151</v>
      </c>
      <c r="Q142" s="38" t="s">
        <v>151</v>
      </c>
      <c r="R142" s="38" t="s">
        <v>151</v>
      </c>
      <c r="S142" s="38" t="s">
        <v>151</v>
      </c>
      <c r="T142" s="38" t="s">
        <v>151</v>
      </c>
      <c r="U142" s="38" t="s">
        <v>151</v>
      </c>
      <c r="V142" s="38" t="s">
        <v>151</v>
      </c>
      <c r="W142" s="38" t="s">
        <v>151</v>
      </c>
      <c r="X142" s="38" t="s">
        <v>151</v>
      </c>
      <c r="Y142" s="38" t="s">
        <v>151</v>
      </c>
      <c r="Z142" s="38" t="s">
        <v>151</v>
      </c>
      <c r="AA142" s="38" t="s">
        <v>151</v>
      </c>
      <c r="AB142" s="45" t="s">
        <v>190</v>
      </c>
      <c r="AC142" s="38" t="s">
        <v>151</v>
      </c>
      <c r="AD142" s="38" t="s">
        <v>151</v>
      </c>
      <c r="AE142" s="38" t="s">
        <v>151</v>
      </c>
      <c r="AF142" s="45" t="s">
        <v>190</v>
      </c>
      <c r="AG142" s="38" t="s">
        <v>151</v>
      </c>
      <c r="AH142" s="38" t="s">
        <v>151</v>
      </c>
      <c r="AI142" s="38" t="s">
        <v>151</v>
      </c>
      <c r="AJ142" s="38" t="s">
        <v>151</v>
      </c>
      <c r="AK142" s="38" t="s">
        <v>151</v>
      </c>
      <c r="AL142" s="38" t="s">
        <v>151</v>
      </c>
      <c r="AM142" s="38" t="s">
        <v>151</v>
      </c>
      <c r="AN142" s="38" t="s">
        <v>151</v>
      </c>
      <c r="AO142" s="38" t="s">
        <v>151</v>
      </c>
      <c r="AP142" s="38" t="s">
        <v>151</v>
      </c>
      <c r="AQ142" s="38" t="s">
        <v>151</v>
      </c>
      <c r="AR142" s="38" t="s">
        <v>151</v>
      </c>
    </row>
    <row r="143">
      <c r="A143" s="1" t="str">
        <f>IFERROR(__xludf.DUMMYFUNCTION("""COMPUTED_VALUE"""),"Scorpion")</f>
        <v>Scorpion</v>
      </c>
      <c r="B143" s="38" t="s">
        <v>151</v>
      </c>
      <c r="C143" s="38" t="s">
        <v>151</v>
      </c>
      <c r="D143" s="38" t="s">
        <v>151</v>
      </c>
      <c r="E143" s="38" t="s">
        <v>151</v>
      </c>
      <c r="F143" s="38" t="s">
        <v>151</v>
      </c>
      <c r="G143" s="38" t="s">
        <v>151</v>
      </c>
      <c r="H143" s="38" t="s">
        <v>151</v>
      </c>
      <c r="I143" s="38" t="s">
        <v>151</v>
      </c>
      <c r="J143" s="38" t="s">
        <v>151</v>
      </c>
      <c r="K143" s="38" t="s">
        <v>151</v>
      </c>
      <c r="L143" s="38" t="s">
        <v>151</v>
      </c>
      <c r="M143" s="38" t="s">
        <v>151</v>
      </c>
      <c r="N143" s="38" t="s">
        <v>151</v>
      </c>
      <c r="O143" s="38" t="s">
        <v>151</v>
      </c>
      <c r="P143" s="38" t="s">
        <v>151</v>
      </c>
      <c r="Q143" s="38" t="s">
        <v>151</v>
      </c>
      <c r="R143" s="38" t="s">
        <v>151</v>
      </c>
      <c r="S143" s="38" t="s">
        <v>151</v>
      </c>
      <c r="T143" s="38" t="s">
        <v>151</v>
      </c>
      <c r="U143" s="38" t="s">
        <v>151</v>
      </c>
      <c r="V143" s="38" t="s">
        <v>151</v>
      </c>
      <c r="W143" s="38" t="s">
        <v>151</v>
      </c>
      <c r="X143" s="38" t="s">
        <v>151</v>
      </c>
      <c r="Y143" s="38" t="s">
        <v>151</v>
      </c>
      <c r="Z143" s="38" t="s">
        <v>151</v>
      </c>
      <c r="AA143" s="38" t="s">
        <v>151</v>
      </c>
      <c r="AB143" s="45" t="s">
        <v>190</v>
      </c>
      <c r="AC143" s="38" t="s">
        <v>151</v>
      </c>
      <c r="AD143" s="38" t="s">
        <v>151</v>
      </c>
      <c r="AE143" s="38" t="s">
        <v>151</v>
      </c>
      <c r="AF143" s="38" t="s">
        <v>151</v>
      </c>
      <c r="AG143" s="38" t="s">
        <v>151</v>
      </c>
      <c r="AH143" s="38" t="s">
        <v>151</v>
      </c>
      <c r="AI143" s="38" t="s">
        <v>151</v>
      </c>
      <c r="AJ143" s="45" t="s">
        <v>190</v>
      </c>
      <c r="AK143" s="45" t="s">
        <v>190</v>
      </c>
      <c r="AL143" s="38" t="s">
        <v>151</v>
      </c>
      <c r="AM143" s="38" t="s">
        <v>151</v>
      </c>
      <c r="AN143" s="38" t="s">
        <v>151</v>
      </c>
      <c r="AO143" s="38" t="s">
        <v>151</v>
      </c>
      <c r="AP143" s="38" t="s">
        <v>151</v>
      </c>
      <c r="AQ143" s="38" t="s">
        <v>151</v>
      </c>
      <c r="AR143" s="38" t="s">
        <v>151</v>
      </c>
    </row>
    <row r="144">
      <c r="A144" s="1" t="str">
        <f>IFERROR(__xludf.DUMMYFUNCTION("""COMPUTED_VALUE"""),"Sentinel")</f>
        <v>Sentinel</v>
      </c>
      <c r="B144" s="38" t="s">
        <v>151</v>
      </c>
      <c r="C144" s="45" t="s">
        <v>190</v>
      </c>
      <c r="D144" s="38" t="s">
        <v>151</v>
      </c>
      <c r="E144" s="38" t="s">
        <v>151</v>
      </c>
      <c r="F144" s="45" t="s">
        <v>190</v>
      </c>
      <c r="G144" s="38" t="s">
        <v>151</v>
      </c>
      <c r="H144" s="45" t="s">
        <v>190</v>
      </c>
      <c r="I144" s="38" t="s">
        <v>151</v>
      </c>
      <c r="J144" s="38" t="s">
        <v>151</v>
      </c>
      <c r="K144" s="38" t="s">
        <v>151</v>
      </c>
      <c r="L144" s="38" t="s">
        <v>151</v>
      </c>
      <c r="M144" s="38" t="s">
        <v>151</v>
      </c>
      <c r="N144" s="38" t="s">
        <v>151</v>
      </c>
      <c r="O144" s="38" t="s">
        <v>151</v>
      </c>
      <c r="P144" s="38" t="s">
        <v>151</v>
      </c>
      <c r="Q144" s="38" t="s">
        <v>151</v>
      </c>
      <c r="R144" s="45" t="s">
        <v>190</v>
      </c>
      <c r="S144" s="38" t="s">
        <v>151</v>
      </c>
      <c r="T144" s="38" t="s">
        <v>151</v>
      </c>
      <c r="U144" s="38" t="s">
        <v>151</v>
      </c>
      <c r="V144" s="38" t="s">
        <v>151</v>
      </c>
      <c r="W144" s="38" t="s">
        <v>151</v>
      </c>
      <c r="X144" s="38" t="s">
        <v>151</v>
      </c>
      <c r="Y144" s="38" t="s">
        <v>151</v>
      </c>
      <c r="Z144" s="38" t="s">
        <v>151</v>
      </c>
      <c r="AA144" s="38" t="s">
        <v>151</v>
      </c>
      <c r="AB144" s="45" t="s">
        <v>190</v>
      </c>
      <c r="AC144" s="38" t="s">
        <v>151</v>
      </c>
      <c r="AD144" s="38" t="s">
        <v>151</v>
      </c>
      <c r="AE144" s="38" t="s">
        <v>151</v>
      </c>
      <c r="AF144" s="38" t="s">
        <v>151</v>
      </c>
      <c r="AG144" s="38" t="s">
        <v>151</v>
      </c>
      <c r="AH144" s="38" t="s">
        <v>151</v>
      </c>
      <c r="AI144" s="38" t="s">
        <v>151</v>
      </c>
      <c r="AJ144" s="38" t="s">
        <v>151</v>
      </c>
      <c r="AK144" s="38" t="s">
        <v>151</v>
      </c>
      <c r="AL144" s="38" t="s">
        <v>151</v>
      </c>
      <c r="AM144" s="38" t="s">
        <v>151</v>
      </c>
      <c r="AN144" s="38" t="s">
        <v>151</v>
      </c>
      <c r="AO144" s="38" t="s">
        <v>151</v>
      </c>
      <c r="AP144" s="38" t="s">
        <v>151</v>
      </c>
      <c r="AQ144" s="38" t="s">
        <v>151</v>
      </c>
      <c r="AR144" s="38" t="s">
        <v>151</v>
      </c>
    </row>
    <row r="145">
      <c r="A145" s="1" t="str">
        <f>IFERROR(__xludf.DUMMYFUNCTION("""COMPUTED_VALUE"""),"Sentry")</f>
        <v>Sentry</v>
      </c>
      <c r="B145" s="38" t="s">
        <v>151</v>
      </c>
      <c r="C145" s="38" t="s">
        <v>151</v>
      </c>
      <c r="D145" s="38" t="s">
        <v>151</v>
      </c>
      <c r="E145" s="38" t="s">
        <v>151</v>
      </c>
      <c r="F145" s="38" t="s">
        <v>151</v>
      </c>
      <c r="G145" s="38" t="s">
        <v>151</v>
      </c>
      <c r="H145" s="38" t="s">
        <v>151</v>
      </c>
      <c r="I145" s="38" t="s">
        <v>151</v>
      </c>
      <c r="J145" s="38" t="s">
        <v>151</v>
      </c>
      <c r="K145" s="38" t="s">
        <v>151</v>
      </c>
      <c r="L145" s="38" t="s">
        <v>151</v>
      </c>
      <c r="M145" s="38" t="s">
        <v>151</v>
      </c>
      <c r="N145" s="38" t="s">
        <v>151</v>
      </c>
      <c r="O145" s="38" t="s">
        <v>151</v>
      </c>
      <c r="P145" s="45" t="s">
        <v>190</v>
      </c>
      <c r="Q145" s="38" t="s">
        <v>151</v>
      </c>
      <c r="R145" s="38" t="s">
        <v>151</v>
      </c>
      <c r="S145" s="38" t="s">
        <v>151</v>
      </c>
      <c r="T145" s="45" t="s">
        <v>190</v>
      </c>
      <c r="U145" s="38" t="s">
        <v>151</v>
      </c>
      <c r="V145" s="38" t="s">
        <v>151</v>
      </c>
      <c r="W145" s="38" t="s">
        <v>151</v>
      </c>
      <c r="X145" s="38" t="s">
        <v>151</v>
      </c>
      <c r="Y145" s="38" t="s">
        <v>151</v>
      </c>
      <c r="Z145" s="45" t="s">
        <v>190</v>
      </c>
      <c r="AA145" s="38" t="s">
        <v>151</v>
      </c>
      <c r="AB145" s="45" t="s">
        <v>190</v>
      </c>
      <c r="AC145" s="38" t="s">
        <v>151</v>
      </c>
      <c r="AD145" s="38" t="s">
        <v>151</v>
      </c>
      <c r="AE145" s="38" t="s">
        <v>151</v>
      </c>
      <c r="AF145" s="38" t="s">
        <v>151</v>
      </c>
      <c r="AG145" s="38" t="s">
        <v>151</v>
      </c>
      <c r="AH145" s="38" t="s">
        <v>151</v>
      </c>
      <c r="AI145" s="38" t="s">
        <v>151</v>
      </c>
      <c r="AJ145" s="38" t="s">
        <v>151</v>
      </c>
      <c r="AK145" s="38" t="s">
        <v>151</v>
      </c>
      <c r="AL145" s="38" t="s">
        <v>151</v>
      </c>
      <c r="AM145" s="38" t="s">
        <v>151</v>
      </c>
      <c r="AN145" s="38" t="s">
        <v>151</v>
      </c>
      <c r="AO145" s="38" t="s">
        <v>151</v>
      </c>
      <c r="AP145" s="38" t="s">
        <v>151</v>
      </c>
      <c r="AQ145" s="38" t="s">
        <v>151</v>
      </c>
      <c r="AR145" s="38" t="s">
        <v>151</v>
      </c>
    </row>
    <row r="146">
      <c r="A146" s="1" t="str">
        <f>IFERROR(__xludf.DUMMYFUNCTION("""COMPUTED_VALUE"""),"She-Hulk")</f>
        <v>She-Hulk</v>
      </c>
      <c r="B146" s="38" t="s">
        <v>151</v>
      </c>
      <c r="C146" s="38" t="s">
        <v>151</v>
      </c>
      <c r="D146" s="38" t="s">
        <v>151</v>
      </c>
      <c r="E146" s="38" t="s">
        <v>151</v>
      </c>
      <c r="F146" s="38" t="s">
        <v>151</v>
      </c>
      <c r="G146" s="38" t="s">
        <v>151</v>
      </c>
      <c r="H146" s="38" t="s">
        <v>151</v>
      </c>
      <c r="I146" s="38" t="s">
        <v>151</v>
      </c>
      <c r="J146" s="38" t="s">
        <v>151</v>
      </c>
      <c r="K146" s="38" t="s">
        <v>151</v>
      </c>
      <c r="L146" s="38" t="s">
        <v>151</v>
      </c>
      <c r="M146" s="38" t="s">
        <v>151</v>
      </c>
      <c r="N146" s="38" t="s">
        <v>151</v>
      </c>
      <c r="O146" s="38" t="s">
        <v>151</v>
      </c>
      <c r="P146" s="38" t="s">
        <v>151</v>
      </c>
      <c r="Q146" s="38" t="s">
        <v>151</v>
      </c>
      <c r="R146" s="38" t="s">
        <v>151</v>
      </c>
      <c r="S146" s="38" t="s">
        <v>151</v>
      </c>
      <c r="T146" s="38" t="s">
        <v>151</v>
      </c>
      <c r="U146" s="38" t="s">
        <v>151</v>
      </c>
      <c r="V146" s="38" t="s">
        <v>151</v>
      </c>
      <c r="W146" s="38" t="s">
        <v>151</v>
      </c>
      <c r="X146" s="38" t="s">
        <v>151</v>
      </c>
      <c r="Y146" s="38" t="s">
        <v>151</v>
      </c>
      <c r="Z146" s="38" t="s">
        <v>151</v>
      </c>
      <c r="AA146" s="38" t="s">
        <v>151</v>
      </c>
      <c r="AB146" s="45" t="s">
        <v>190</v>
      </c>
      <c r="AC146" s="38" t="s">
        <v>151</v>
      </c>
      <c r="AD146" s="38" t="s">
        <v>151</v>
      </c>
      <c r="AE146" s="38" t="s">
        <v>151</v>
      </c>
      <c r="AF146" s="38" t="s">
        <v>151</v>
      </c>
      <c r="AG146" s="38" t="s">
        <v>151</v>
      </c>
      <c r="AH146" s="38" t="s">
        <v>151</v>
      </c>
      <c r="AI146" s="38" t="s">
        <v>151</v>
      </c>
      <c r="AJ146" s="38" t="s">
        <v>151</v>
      </c>
      <c r="AK146" s="38" t="s">
        <v>151</v>
      </c>
      <c r="AL146" s="38" t="s">
        <v>151</v>
      </c>
      <c r="AM146" s="38" t="s">
        <v>151</v>
      </c>
      <c r="AN146" s="38" t="s">
        <v>151</v>
      </c>
      <c r="AO146" s="38" t="s">
        <v>151</v>
      </c>
      <c r="AP146" s="38" t="s">
        <v>151</v>
      </c>
      <c r="AQ146" s="38" t="s">
        <v>151</v>
      </c>
      <c r="AR146" s="38" t="s">
        <v>151</v>
      </c>
    </row>
    <row r="147">
      <c r="A147" s="1" t="str">
        <f>IFERROR(__xludf.DUMMYFUNCTION("""COMPUTED_VALUE"""),"She-Hulk (Deathless)")</f>
        <v>She-Hulk (Deathless)</v>
      </c>
      <c r="B147" s="38" t="s">
        <v>151</v>
      </c>
      <c r="C147" s="38" t="s">
        <v>151</v>
      </c>
      <c r="D147" s="38" t="s">
        <v>151</v>
      </c>
      <c r="E147" s="38" t="s">
        <v>151</v>
      </c>
      <c r="F147" s="38" t="s">
        <v>151</v>
      </c>
      <c r="G147" s="38" t="s">
        <v>151</v>
      </c>
      <c r="H147" s="38" t="s">
        <v>151</v>
      </c>
      <c r="I147" s="38" t="s">
        <v>151</v>
      </c>
      <c r="J147" s="38" t="s">
        <v>151</v>
      </c>
      <c r="K147" s="38" t="s">
        <v>151</v>
      </c>
      <c r="L147" s="38" t="s">
        <v>151</v>
      </c>
      <c r="M147" s="38" t="s">
        <v>151</v>
      </c>
      <c r="N147" s="38" t="s">
        <v>151</v>
      </c>
      <c r="O147" s="38" t="s">
        <v>151</v>
      </c>
      <c r="P147" s="38" t="s">
        <v>151</v>
      </c>
      <c r="Q147" s="38" t="s">
        <v>151</v>
      </c>
      <c r="R147" s="38" t="s">
        <v>151</v>
      </c>
      <c r="S147" s="38" t="s">
        <v>151</v>
      </c>
      <c r="T147" s="38" t="s">
        <v>151</v>
      </c>
      <c r="U147" s="38" t="s">
        <v>151</v>
      </c>
      <c r="V147" s="38" t="s">
        <v>151</v>
      </c>
      <c r="W147" s="38" t="s">
        <v>151</v>
      </c>
      <c r="X147" s="38" t="s">
        <v>151</v>
      </c>
      <c r="Y147" s="38" t="s">
        <v>151</v>
      </c>
      <c r="Z147" s="38" t="s">
        <v>151</v>
      </c>
      <c r="AA147" s="38" t="s">
        <v>151</v>
      </c>
      <c r="AB147" s="45" t="s">
        <v>190</v>
      </c>
      <c r="AC147" s="38" t="s">
        <v>151</v>
      </c>
      <c r="AD147" s="38" t="s">
        <v>151</v>
      </c>
      <c r="AE147" s="38" t="s">
        <v>151</v>
      </c>
      <c r="AF147" s="38" t="s">
        <v>151</v>
      </c>
      <c r="AG147" s="38" t="s">
        <v>151</v>
      </c>
      <c r="AH147" s="38" t="s">
        <v>151</v>
      </c>
      <c r="AI147" s="38" t="s">
        <v>151</v>
      </c>
      <c r="AJ147" s="45" t="s">
        <v>190</v>
      </c>
      <c r="AK147" s="38" t="s">
        <v>151</v>
      </c>
      <c r="AL147" s="38" t="s">
        <v>151</v>
      </c>
      <c r="AM147" s="38" t="s">
        <v>151</v>
      </c>
      <c r="AN147" s="38" t="s">
        <v>151</v>
      </c>
      <c r="AO147" s="38" t="s">
        <v>151</v>
      </c>
      <c r="AP147" s="38" t="s">
        <v>151</v>
      </c>
      <c r="AQ147" s="38" t="s">
        <v>151</v>
      </c>
      <c r="AR147" s="38" t="s">
        <v>151</v>
      </c>
    </row>
    <row r="148">
      <c r="A148" s="1" t="str">
        <f>IFERROR(__xludf.DUMMYFUNCTION("""COMPUTED_VALUE"""),"Shocker")</f>
        <v>Shocker</v>
      </c>
      <c r="B148" s="38" t="s">
        <v>151</v>
      </c>
      <c r="C148" s="38" t="s">
        <v>151</v>
      </c>
      <c r="D148" s="38" t="s">
        <v>151</v>
      </c>
      <c r="E148" s="38" t="s">
        <v>151</v>
      </c>
      <c r="F148" s="38" t="s">
        <v>151</v>
      </c>
      <c r="G148" s="38" t="s">
        <v>151</v>
      </c>
      <c r="H148" s="38" t="s">
        <v>151</v>
      </c>
      <c r="I148" s="45" t="s">
        <v>190</v>
      </c>
      <c r="J148" s="38" t="s">
        <v>151</v>
      </c>
      <c r="K148" s="38" t="s">
        <v>151</v>
      </c>
      <c r="L148" s="38" t="s">
        <v>151</v>
      </c>
      <c r="M148" s="38" t="s">
        <v>151</v>
      </c>
      <c r="N148" s="38" t="s">
        <v>151</v>
      </c>
      <c r="O148" s="38" t="s">
        <v>151</v>
      </c>
      <c r="P148" s="38" t="s">
        <v>151</v>
      </c>
      <c r="Q148" s="38" t="s">
        <v>151</v>
      </c>
      <c r="R148" s="38" t="s">
        <v>151</v>
      </c>
      <c r="S148" s="38" t="s">
        <v>151</v>
      </c>
      <c r="T148" s="38" t="s">
        <v>151</v>
      </c>
      <c r="U148" s="38" t="s">
        <v>151</v>
      </c>
      <c r="V148" s="38" t="s">
        <v>151</v>
      </c>
      <c r="W148" s="38" t="s">
        <v>151</v>
      </c>
      <c r="X148" s="38" t="s">
        <v>151</v>
      </c>
      <c r="Y148" s="38" t="s">
        <v>151</v>
      </c>
      <c r="Z148" s="38" t="s">
        <v>151</v>
      </c>
      <c r="AA148" s="38" t="s">
        <v>151</v>
      </c>
      <c r="AB148" s="38" t="s">
        <v>151</v>
      </c>
      <c r="AC148" s="38" t="s">
        <v>151</v>
      </c>
      <c r="AD148" s="38" t="s">
        <v>151</v>
      </c>
      <c r="AE148" s="38" t="s">
        <v>151</v>
      </c>
      <c r="AF148" s="38" t="s">
        <v>151</v>
      </c>
      <c r="AG148" s="38" t="s">
        <v>151</v>
      </c>
      <c r="AH148" s="38" t="s">
        <v>151</v>
      </c>
      <c r="AI148" s="38" t="s">
        <v>151</v>
      </c>
      <c r="AJ148" s="38" t="s">
        <v>151</v>
      </c>
      <c r="AK148" s="45" t="s">
        <v>190</v>
      </c>
      <c r="AL148" s="38" t="s">
        <v>151</v>
      </c>
      <c r="AM148" s="38" t="s">
        <v>151</v>
      </c>
      <c r="AN148" s="38" t="s">
        <v>151</v>
      </c>
      <c r="AO148" s="38" t="s">
        <v>151</v>
      </c>
      <c r="AP148" s="38" t="s">
        <v>151</v>
      </c>
      <c r="AQ148" s="38" t="s">
        <v>151</v>
      </c>
      <c r="AR148" s="38" t="s">
        <v>151</v>
      </c>
    </row>
    <row r="149">
      <c r="A149" s="1" t="str">
        <f>IFERROR(__xludf.DUMMYFUNCTION("""COMPUTED_VALUE"""),"Shuri")</f>
        <v>Shuri</v>
      </c>
      <c r="B149" s="45" t="s">
        <v>190</v>
      </c>
      <c r="C149" s="38" t="s">
        <v>151</v>
      </c>
      <c r="D149" s="38" t="s">
        <v>151</v>
      </c>
      <c r="E149" s="38" t="s">
        <v>151</v>
      </c>
      <c r="F149" s="38" t="s">
        <v>151</v>
      </c>
      <c r="G149" s="38" t="s">
        <v>151</v>
      </c>
      <c r="H149" s="38" t="s">
        <v>151</v>
      </c>
      <c r="I149" s="38" t="s">
        <v>151</v>
      </c>
      <c r="J149" s="38" t="s">
        <v>151</v>
      </c>
      <c r="K149" s="38" t="s">
        <v>151</v>
      </c>
      <c r="L149" s="38" t="s">
        <v>151</v>
      </c>
      <c r="M149" s="38" t="s">
        <v>151</v>
      </c>
      <c r="N149" s="38" t="s">
        <v>151</v>
      </c>
      <c r="O149" s="38" t="s">
        <v>151</v>
      </c>
      <c r="P149" s="38" t="s">
        <v>151</v>
      </c>
      <c r="Q149" s="38" t="s">
        <v>151</v>
      </c>
      <c r="R149" s="38" t="s">
        <v>151</v>
      </c>
      <c r="S149" s="38" t="s">
        <v>151</v>
      </c>
      <c r="T149" s="38" t="s">
        <v>151</v>
      </c>
      <c r="U149" s="38" t="s">
        <v>151</v>
      </c>
      <c r="V149" s="38" t="s">
        <v>151</v>
      </c>
      <c r="W149" s="38" t="s">
        <v>151</v>
      </c>
      <c r="X149" s="38" t="s">
        <v>151</v>
      </c>
      <c r="Y149" s="38" t="s">
        <v>151</v>
      </c>
      <c r="Z149" s="38" t="s">
        <v>151</v>
      </c>
      <c r="AA149" s="38" t="s">
        <v>151</v>
      </c>
      <c r="AB149" s="38" t="s">
        <v>151</v>
      </c>
      <c r="AC149" s="38" t="s">
        <v>151</v>
      </c>
      <c r="AD149" s="38" t="s">
        <v>151</v>
      </c>
      <c r="AE149" s="38" t="s">
        <v>151</v>
      </c>
      <c r="AF149" s="38" t="s">
        <v>151</v>
      </c>
      <c r="AG149" s="38" t="s">
        <v>151</v>
      </c>
      <c r="AH149" s="38" t="s">
        <v>151</v>
      </c>
      <c r="AI149" s="38" t="s">
        <v>151</v>
      </c>
      <c r="AJ149" s="38" t="s">
        <v>151</v>
      </c>
      <c r="AK149" s="45" t="s">
        <v>190</v>
      </c>
      <c r="AL149" s="38" t="s">
        <v>151</v>
      </c>
      <c r="AM149" s="38" t="s">
        <v>151</v>
      </c>
      <c r="AN149" s="38" t="s">
        <v>151</v>
      </c>
      <c r="AO149" s="38" t="s">
        <v>151</v>
      </c>
      <c r="AP149" s="38" t="s">
        <v>151</v>
      </c>
      <c r="AQ149" s="38" t="s">
        <v>151</v>
      </c>
      <c r="AR149" s="38" t="s">
        <v>151</v>
      </c>
    </row>
    <row r="150">
      <c r="A150" s="1" t="str">
        <f>IFERROR(__xludf.DUMMYFUNCTION("""COMPUTED_VALUE"""),"Silver Surfer")</f>
        <v>Silver Surfer</v>
      </c>
      <c r="B150" s="38" t="s">
        <v>151</v>
      </c>
      <c r="C150" s="38" t="s">
        <v>151</v>
      </c>
      <c r="D150" s="38" t="s">
        <v>151</v>
      </c>
      <c r="E150" s="38" t="s">
        <v>151</v>
      </c>
      <c r="F150" s="38" t="s">
        <v>151</v>
      </c>
      <c r="G150" s="45" t="s">
        <v>190</v>
      </c>
      <c r="H150" s="38" t="s">
        <v>151</v>
      </c>
      <c r="I150" s="38" t="s">
        <v>151</v>
      </c>
      <c r="J150" s="38" t="s">
        <v>151</v>
      </c>
      <c r="K150" s="38" t="s">
        <v>151</v>
      </c>
      <c r="L150" s="38" t="s">
        <v>151</v>
      </c>
      <c r="M150" s="38" t="s">
        <v>151</v>
      </c>
      <c r="N150" s="38" t="s">
        <v>151</v>
      </c>
      <c r="O150" s="38" t="s">
        <v>151</v>
      </c>
      <c r="P150" s="38" t="s">
        <v>151</v>
      </c>
      <c r="Q150" s="38" t="s">
        <v>151</v>
      </c>
      <c r="R150" s="38" t="s">
        <v>151</v>
      </c>
      <c r="S150" s="38" t="s">
        <v>151</v>
      </c>
      <c r="T150" s="38" t="s">
        <v>151</v>
      </c>
      <c r="U150" s="38" t="s">
        <v>151</v>
      </c>
      <c r="V150" s="38" t="s">
        <v>151</v>
      </c>
      <c r="W150" s="38" t="s">
        <v>151</v>
      </c>
      <c r="X150" s="38" t="s">
        <v>151</v>
      </c>
      <c r="Y150" s="38" t="s">
        <v>151</v>
      </c>
      <c r="Z150" s="38" t="s">
        <v>151</v>
      </c>
      <c r="AA150" s="38" t="s">
        <v>151</v>
      </c>
      <c r="AB150" s="38" t="s">
        <v>151</v>
      </c>
      <c r="AC150" s="38" t="s">
        <v>151</v>
      </c>
      <c r="AD150" s="38" t="s">
        <v>151</v>
      </c>
      <c r="AE150" s="38" t="s">
        <v>151</v>
      </c>
      <c r="AF150" s="38" t="s">
        <v>151</v>
      </c>
      <c r="AG150" s="38" t="s">
        <v>151</v>
      </c>
      <c r="AH150" s="38" t="s">
        <v>151</v>
      </c>
      <c r="AI150" s="38" t="s">
        <v>151</v>
      </c>
      <c r="AJ150" s="38" t="s">
        <v>151</v>
      </c>
      <c r="AK150" s="38" t="s">
        <v>151</v>
      </c>
      <c r="AL150" s="38" t="s">
        <v>151</v>
      </c>
      <c r="AM150" s="38" t="s">
        <v>151</v>
      </c>
      <c r="AN150" s="38" t="s">
        <v>151</v>
      </c>
      <c r="AO150" s="38" t="s">
        <v>151</v>
      </c>
      <c r="AP150" s="38" t="s">
        <v>151</v>
      </c>
      <c r="AQ150" s="38" t="s">
        <v>151</v>
      </c>
      <c r="AR150" s="38" t="s">
        <v>151</v>
      </c>
    </row>
    <row r="151">
      <c r="A151" s="1" t="str">
        <f>IFERROR(__xludf.DUMMYFUNCTION("""COMPUTED_VALUE"""),"Solvarch")</f>
        <v>Solvarch</v>
      </c>
      <c r="B151" s="38" t="s">
        <v>151</v>
      </c>
      <c r="C151" s="38" t="s">
        <v>151</v>
      </c>
      <c r="D151" s="38" t="s">
        <v>151</v>
      </c>
      <c r="E151" s="38" t="s">
        <v>151</v>
      </c>
      <c r="F151" s="45" t="s">
        <v>190</v>
      </c>
      <c r="G151" s="38" t="s">
        <v>151</v>
      </c>
      <c r="H151" s="38" t="s">
        <v>151</v>
      </c>
      <c r="I151" s="38" t="s">
        <v>151</v>
      </c>
      <c r="J151" s="45" t="s">
        <v>190</v>
      </c>
      <c r="K151" s="38" t="s">
        <v>151</v>
      </c>
      <c r="L151" s="38" t="s">
        <v>151</v>
      </c>
      <c r="M151" s="38" t="s">
        <v>151</v>
      </c>
      <c r="N151" s="38" t="s">
        <v>151</v>
      </c>
      <c r="O151" s="38" t="s">
        <v>151</v>
      </c>
      <c r="P151" s="38" t="s">
        <v>151</v>
      </c>
      <c r="Q151" s="38" t="s">
        <v>151</v>
      </c>
      <c r="R151" s="38" t="s">
        <v>151</v>
      </c>
      <c r="S151" s="38" t="s">
        <v>151</v>
      </c>
      <c r="T151" s="38" t="s">
        <v>151</v>
      </c>
      <c r="U151" s="38" t="s">
        <v>151</v>
      </c>
      <c r="V151" s="38" t="s">
        <v>151</v>
      </c>
      <c r="W151" s="38" t="s">
        <v>151</v>
      </c>
      <c r="X151" s="38" t="s">
        <v>151</v>
      </c>
      <c r="Y151" s="38" t="s">
        <v>151</v>
      </c>
      <c r="Z151" s="38" t="s">
        <v>151</v>
      </c>
      <c r="AA151" s="38" t="s">
        <v>151</v>
      </c>
      <c r="AB151" s="45" t="s">
        <v>190</v>
      </c>
      <c r="AC151" s="38" t="s">
        <v>151</v>
      </c>
      <c r="AD151" s="38" t="s">
        <v>151</v>
      </c>
      <c r="AE151" s="38" t="s">
        <v>151</v>
      </c>
      <c r="AF151" s="38" t="s">
        <v>151</v>
      </c>
      <c r="AG151" s="38" t="s">
        <v>151</v>
      </c>
      <c r="AH151" s="38" t="s">
        <v>151</v>
      </c>
      <c r="AI151" s="38" t="s">
        <v>151</v>
      </c>
      <c r="AJ151" s="38" t="s">
        <v>151</v>
      </c>
      <c r="AK151" s="38" t="s">
        <v>151</v>
      </c>
      <c r="AL151" s="38" t="s">
        <v>151</v>
      </c>
      <c r="AM151" s="38" t="s">
        <v>151</v>
      </c>
      <c r="AN151" s="38" t="s">
        <v>151</v>
      </c>
      <c r="AO151" s="38" t="s">
        <v>151</v>
      </c>
      <c r="AP151" s="38" t="s">
        <v>151</v>
      </c>
      <c r="AQ151" s="38" t="s">
        <v>151</v>
      </c>
      <c r="AR151" s="38" t="s">
        <v>151</v>
      </c>
    </row>
    <row r="152">
      <c r="A152" s="1" t="str">
        <f>IFERROR(__xludf.DUMMYFUNCTION("""COMPUTED_VALUE"""),"Sorcerer Supreme")</f>
        <v>Sorcerer Supreme</v>
      </c>
      <c r="B152" s="38" t="s">
        <v>151</v>
      </c>
      <c r="C152" s="38" t="s">
        <v>151</v>
      </c>
      <c r="D152" s="38" t="s">
        <v>151</v>
      </c>
      <c r="E152" s="38" t="s">
        <v>151</v>
      </c>
      <c r="F152" s="38" t="s">
        <v>151</v>
      </c>
      <c r="G152" s="38" t="s">
        <v>151</v>
      </c>
      <c r="H152" s="38" t="s">
        <v>151</v>
      </c>
      <c r="I152" s="38" t="s">
        <v>151</v>
      </c>
      <c r="J152" s="38" t="s">
        <v>151</v>
      </c>
      <c r="K152" s="38" t="s">
        <v>151</v>
      </c>
      <c r="L152" s="38" t="s">
        <v>151</v>
      </c>
      <c r="M152" s="38" t="s">
        <v>151</v>
      </c>
      <c r="N152" s="38" t="s">
        <v>151</v>
      </c>
      <c r="O152" s="38" t="s">
        <v>151</v>
      </c>
      <c r="P152" s="45" t="s">
        <v>190</v>
      </c>
      <c r="Q152" s="38" t="s">
        <v>151</v>
      </c>
      <c r="R152" s="38" t="s">
        <v>151</v>
      </c>
      <c r="S152" s="38" t="s">
        <v>151</v>
      </c>
      <c r="T152" s="38" t="s">
        <v>151</v>
      </c>
      <c r="U152" s="38" t="s">
        <v>151</v>
      </c>
      <c r="V152" s="38" t="s">
        <v>151</v>
      </c>
      <c r="W152" s="38" t="s">
        <v>151</v>
      </c>
      <c r="X152" s="38" t="s">
        <v>151</v>
      </c>
      <c r="Y152" s="38" t="s">
        <v>151</v>
      </c>
      <c r="Z152" s="45" t="s">
        <v>190</v>
      </c>
      <c r="AA152" s="38" t="s">
        <v>151</v>
      </c>
      <c r="AB152" s="38" t="s">
        <v>151</v>
      </c>
      <c r="AC152" s="38" t="s">
        <v>151</v>
      </c>
      <c r="AD152" s="38" t="s">
        <v>151</v>
      </c>
      <c r="AE152" s="38" t="s">
        <v>151</v>
      </c>
      <c r="AF152" s="38" t="s">
        <v>151</v>
      </c>
      <c r="AG152" s="38" t="s">
        <v>151</v>
      </c>
      <c r="AH152" s="38" t="s">
        <v>151</v>
      </c>
      <c r="AI152" s="38" t="s">
        <v>151</v>
      </c>
      <c r="AJ152" s="38" t="s">
        <v>151</v>
      </c>
      <c r="AK152" s="38" t="s">
        <v>151</v>
      </c>
      <c r="AL152" s="38" t="s">
        <v>151</v>
      </c>
      <c r="AM152" s="38" t="s">
        <v>151</v>
      </c>
      <c r="AN152" s="38" t="s">
        <v>151</v>
      </c>
      <c r="AO152" s="38" t="s">
        <v>151</v>
      </c>
      <c r="AP152" s="38" t="s">
        <v>151</v>
      </c>
      <c r="AQ152" s="38" t="s">
        <v>151</v>
      </c>
      <c r="AR152" s="38" t="s">
        <v>151</v>
      </c>
    </row>
    <row r="153">
      <c r="A153" s="1" t="str">
        <f>IFERROR(__xludf.DUMMYFUNCTION("""COMPUTED_VALUE"""),"Spider Man 2099")</f>
        <v>Spider Man 2099</v>
      </c>
      <c r="B153" s="38" t="s">
        <v>151</v>
      </c>
      <c r="C153" s="38" t="s">
        <v>151</v>
      </c>
      <c r="D153" s="38" t="s">
        <v>151</v>
      </c>
      <c r="E153" s="38" t="s">
        <v>151</v>
      </c>
      <c r="F153" s="38" t="s">
        <v>151</v>
      </c>
      <c r="G153" s="45" t="s">
        <v>190</v>
      </c>
      <c r="H153" s="38" t="s">
        <v>151</v>
      </c>
      <c r="I153" s="38" t="s">
        <v>151</v>
      </c>
      <c r="J153" s="38" t="s">
        <v>151</v>
      </c>
      <c r="K153" s="38" t="s">
        <v>151</v>
      </c>
      <c r="L153" s="38" t="s">
        <v>151</v>
      </c>
      <c r="M153" s="38" t="s">
        <v>151</v>
      </c>
      <c r="N153" s="38" t="s">
        <v>151</v>
      </c>
      <c r="O153" s="38" t="s">
        <v>151</v>
      </c>
      <c r="P153" s="38" t="s">
        <v>151</v>
      </c>
      <c r="Q153" s="38" t="s">
        <v>151</v>
      </c>
      <c r="R153" s="38" t="s">
        <v>151</v>
      </c>
      <c r="S153" s="38" t="s">
        <v>151</v>
      </c>
      <c r="T153" s="38" t="s">
        <v>151</v>
      </c>
      <c r="U153" s="38" t="s">
        <v>151</v>
      </c>
      <c r="V153" s="38" t="s">
        <v>151</v>
      </c>
      <c r="W153" s="38" t="s">
        <v>151</v>
      </c>
      <c r="X153" s="38" t="s">
        <v>151</v>
      </c>
      <c r="Y153" s="38" t="s">
        <v>151</v>
      </c>
      <c r="Z153" s="38" t="s">
        <v>151</v>
      </c>
      <c r="AA153" s="38" t="s">
        <v>151</v>
      </c>
      <c r="AB153" s="38" t="s">
        <v>151</v>
      </c>
      <c r="AC153" s="38" t="s">
        <v>151</v>
      </c>
      <c r="AD153" s="38" t="s">
        <v>151</v>
      </c>
      <c r="AE153" s="38" t="s">
        <v>151</v>
      </c>
      <c r="AF153" s="38" t="s">
        <v>151</v>
      </c>
      <c r="AG153" s="38" t="s">
        <v>151</v>
      </c>
      <c r="AH153" s="38" t="s">
        <v>151</v>
      </c>
      <c r="AI153" s="38" t="s">
        <v>151</v>
      </c>
      <c r="AJ153" s="38" t="s">
        <v>151</v>
      </c>
      <c r="AK153" s="38" t="s">
        <v>151</v>
      </c>
      <c r="AL153" s="38" t="s">
        <v>151</v>
      </c>
      <c r="AM153" s="38" t="s">
        <v>151</v>
      </c>
      <c r="AN153" s="38" t="s">
        <v>151</v>
      </c>
      <c r="AO153" s="38" t="s">
        <v>151</v>
      </c>
      <c r="AP153" s="38" t="s">
        <v>151</v>
      </c>
      <c r="AQ153" s="38" t="s">
        <v>151</v>
      </c>
      <c r="AR153" s="38" t="s">
        <v>151</v>
      </c>
    </row>
    <row r="154">
      <c r="A154" s="1" t="str">
        <f>IFERROR(__xludf.DUMMYFUNCTION("""COMPUTED_VALUE"""),"Spider-Man (Supreme)")</f>
        <v>Spider-Man (Supreme)</v>
      </c>
      <c r="B154" s="38" t="s">
        <v>151</v>
      </c>
      <c r="C154" s="38" t="s">
        <v>151</v>
      </c>
      <c r="D154" s="38" t="s">
        <v>151</v>
      </c>
      <c r="E154" s="38" t="s">
        <v>151</v>
      </c>
      <c r="F154" s="38" t="s">
        <v>151</v>
      </c>
      <c r="G154" s="38" t="s">
        <v>151</v>
      </c>
      <c r="H154" s="38" t="s">
        <v>151</v>
      </c>
      <c r="I154" s="38" t="s">
        <v>151</v>
      </c>
      <c r="J154" s="38" t="s">
        <v>151</v>
      </c>
      <c r="K154" s="38" t="s">
        <v>151</v>
      </c>
      <c r="L154" s="38" t="s">
        <v>151</v>
      </c>
      <c r="M154" s="38" t="s">
        <v>151</v>
      </c>
      <c r="N154" s="38" t="s">
        <v>151</v>
      </c>
      <c r="O154" s="38" t="s">
        <v>151</v>
      </c>
      <c r="P154" s="38" t="s">
        <v>151</v>
      </c>
      <c r="Q154" s="38" t="s">
        <v>151</v>
      </c>
      <c r="R154" s="38" t="s">
        <v>151</v>
      </c>
      <c r="S154" s="38" t="s">
        <v>151</v>
      </c>
      <c r="T154" s="38" t="s">
        <v>151</v>
      </c>
      <c r="U154" s="38" t="s">
        <v>151</v>
      </c>
      <c r="V154" s="38" t="s">
        <v>151</v>
      </c>
      <c r="W154" s="38" t="s">
        <v>151</v>
      </c>
      <c r="X154" s="45" t="s">
        <v>190</v>
      </c>
      <c r="Y154" s="38" t="s">
        <v>151</v>
      </c>
      <c r="Z154" s="38" t="s">
        <v>151</v>
      </c>
      <c r="AA154" s="38" t="s">
        <v>151</v>
      </c>
      <c r="AB154" s="38" t="s">
        <v>151</v>
      </c>
      <c r="AC154" s="38" t="s">
        <v>151</v>
      </c>
      <c r="AD154" s="38" t="s">
        <v>151</v>
      </c>
      <c r="AE154" s="38" t="s">
        <v>151</v>
      </c>
      <c r="AF154" s="38" t="s">
        <v>151</v>
      </c>
      <c r="AG154" s="38" t="s">
        <v>151</v>
      </c>
      <c r="AH154" s="38" t="s">
        <v>151</v>
      </c>
      <c r="AI154" s="38" t="s">
        <v>151</v>
      </c>
      <c r="AJ154" s="38" t="s">
        <v>151</v>
      </c>
      <c r="AK154" s="38" t="s">
        <v>151</v>
      </c>
      <c r="AL154" s="38" t="s">
        <v>151</v>
      </c>
      <c r="AM154" s="45" t="s">
        <v>190</v>
      </c>
      <c r="AN154" s="38" t="s">
        <v>151</v>
      </c>
      <c r="AO154" s="38" t="s">
        <v>151</v>
      </c>
      <c r="AP154" s="38" t="s">
        <v>151</v>
      </c>
      <c r="AQ154" s="38" t="s">
        <v>151</v>
      </c>
      <c r="AR154" s="38" t="s">
        <v>151</v>
      </c>
    </row>
    <row r="155">
      <c r="A155" s="1" t="str">
        <f>IFERROR(__xludf.DUMMYFUNCTION("""COMPUTED_VALUE"""),"Spider-Punk")</f>
        <v>Spider-Punk</v>
      </c>
      <c r="B155" s="38" t="s">
        <v>151</v>
      </c>
      <c r="C155" s="38" t="s">
        <v>151</v>
      </c>
      <c r="D155" s="38" t="s">
        <v>151</v>
      </c>
      <c r="E155" s="38" t="s">
        <v>151</v>
      </c>
      <c r="F155" s="38" t="s">
        <v>151</v>
      </c>
      <c r="G155" s="38" t="s">
        <v>151</v>
      </c>
      <c r="H155" s="38" t="s">
        <v>151</v>
      </c>
      <c r="I155" s="45" t="s">
        <v>190</v>
      </c>
      <c r="J155" s="38" t="s">
        <v>151</v>
      </c>
      <c r="K155" s="38" t="s">
        <v>151</v>
      </c>
      <c r="L155" s="38" t="s">
        <v>151</v>
      </c>
      <c r="M155" s="38" t="s">
        <v>151</v>
      </c>
      <c r="N155" s="38" t="s">
        <v>151</v>
      </c>
      <c r="O155" s="38" t="s">
        <v>151</v>
      </c>
      <c r="P155" s="38" t="s">
        <v>151</v>
      </c>
      <c r="Q155" s="38" t="s">
        <v>151</v>
      </c>
      <c r="R155" s="38" t="s">
        <v>151</v>
      </c>
      <c r="S155" s="38" t="s">
        <v>151</v>
      </c>
      <c r="T155" s="38" t="s">
        <v>151</v>
      </c>
      <c r="U155" s="38" t="s">
        <v>151</v>
      </c>
      <c r="V155" s="38" t="s">
        <v>151</v>
      </c>
      <c r="W155" s="38" t="s">
        <v>151</v>
      </c>
      <c r="X155" s="38" t="s">
        <v>151</v>
      </c>
      <c r="Y155" s="38" t="s">
        <v>151</v>
      </c>
      <c r="Z155" s="38" t="s">
        <v>151</v>
      </c>
      <c r="AA155" s="38" t="s">
        <v>151</v>
      </c>
      <c r="AB155" s="38" t="s">
        <v>151</v>
      </c>
      <c r="AC155" s="38" t="s">
        <v>151</v>
      </c>
      <c r="AD155" s="38" t="s">
        <v>151</v>
      </c>
      <c r="AE155" s="38" t="s">
        <v>151</v>
      </c>
      <c r="AF155" s="38" t="s">
        <v>151</v>
      </c>
      <c r="AG155" s="38" t="s">
        <v>151</v>
      </c>
      <c r="AH155" s="38" t="s">
        <v>151</v>
      </c>
      <c r="AI155" s="45" t="s">
        <v>190</v>
      </c>
      <c r="AJ155" s="45" t="s">
        <v>190</v>
      </c>
      <c r="AK155" s="38" t="s">
        <v>151</v>
      </c>
      <c r="AL155" s="38" t="s">
        <v>151</v>
      </c>
      <c r="AM155" s="38" t="s">
        <v>151</v>
      </c>
      <c r="AN155" s="38" t="s">
        <v>151</v>
      </c>
      <c r="AO155" s="38" t="s">
        <v>151</v>
      </c>
      <c r="AP155" s="38" t="s">
        <v>151</v>
      </c>
      <c r="AQ155" s="38" t="s">
        <v>151</v>
      </c>
      <c r="AR155" s="38" t="s">
        <v>151</v>
      </c>
    </row>
    <row r="156">
      <c r="A156" s="1" t="str">
        <f>IFERROR(__xludf.DUMMYFUNCTION("""COMPUTED_VALUE"""),"Spider-Slayer (J. Jonah Jameson)")</f>
        <v>Spider-Slayer (J. Jonah Jameson)</v>
      </c>
      <c r="B156" s="38" t="s">
        <v>151</v>
      </c>
      <c r="C156" s="38" t="s">
        <v>151</v>
      </c>
      <c r="D156" s="38" t="s">
        <v>151</v>
      </c>
      <c r="E156" s="38" t="s">
        <v>151</v>
      </c>
      <c r="F156" s="45" t="s">
        <v>190</v>
      </c>
      <c r="G156" s="38" t="s">
        <v>151</v>
      </c>
      <c r="H156" s="38" t="s">
        <v>151</v>
      </c>
      <c r="I156" s="38" t="s">
        <v>151</v>
      </c>
      <c r="J156" s="38" t="s">
        <v>151</v>
      </c>
      <c r="K156" s="38" t="s">
        <v>151</v>
      </c>
      <c r="L156" s="38" t="s">
        <v>151</v>
      </c>
      <c r="M156" s="38" t="s">
        <v>151</v>
      </c>
      <c r="N156" s="38" t="s">
        <v>151</v>
      </c>
      <c r="O156" s="38" t="s">
        <v>151</v>
      </c>
      <c r="P156" s="38" t="s">
        <v>151</v>
      </c>
      <c r="Q156" s="38" t="s">
        <v>151</v>
      </c>
      <c r="R156" s="38" t="s">
        <v>151</v>
      </c>
      <c r="S156" s="38" t="s">
        <v>151</v>
      </c>
      <c r="T156" s="38" t="s">
        <v>151</v>
      </c>
      <c r="U156" s="38" t="s">
        <v>151</v>
      </c>
      <c r="V156" s="38" t="s">
        <v>151</v>
      </c>
      <c r="W156" s="38" t="s">
        <v>151</v>
      </c>
      <c r="X156" s="38" t="s">
        <v>151</v>
      </c>
      <c r="Y156" s="38" t="s">
        <v>151</v>
      </c>
      <c r="Z156" s="38" t="s">
        <v>151</v>
      </c>
      <c r="AA156" s="38" t="s">
        <v>151</v>
      </c>
      <c r="AB156" s="45" t="s">
        <v>190</v>
      </c>
      <c r="AC156" s="38" t="s">
        <v>151</v>
      </c>
      <c r="AD156" s="38" t="s">
        <v>151</v>
      </c>
      <c r="AE156" s="38" t="s">
        <v>151</v>
      </c>
      <c r="AF156" s="38" t="s">
        <v>151</v>
      </c>
      <c r="AG156" s="38" t="s">
        <v>151</v>
      </c>
      <c r="AH156" s="38" t="s">
        <v>151</v>
      </c>
      <c r="AI156" s="38" t="s">
        <v>151</v>
      </c>
      <c r="AJ156" s="38" t="s">
        <v>151</v>
      </c>
      <c r="AK156" s="38" t="s">
        <v>151</v>
      </c>
      <c r="AL156" s="38" t="s">
        <v>151</v>
      </c>
      <c r="AM156" s="38" t="s">
        <v>151</v>
      </c>
      <c r="AN156" s="38" t="s">
        <v>151</v>
      </c>
      <c r="AO156" s="38" t="s">
        <v>151</v>
      </c>
      <c r="AP156" s="38" t="s">
        <v>151</v>
      </c>
      <c r="AQ156" s="38" t="s">
        <v>151</v>
      </c>
      <c r="AR156" s="38" t="s">
        <v>151</v>
      </c>
    </row>
    <row r="157">
      <c r="A157" s="1" t="str">
        <f>IFERROR(__xludf.DUMMYFUNCTION("""COMPUTED_VALUE"""),"Spider-Woman")</f>
        <v>Spider-Woman</v>
      </c>
      <c r="B157" s="38" t="s">
        <v>151</v>
      </c>
      <c r="C157" s="38" t="s">
        <v>151</v>
      </c>
      <c r="D157" s="38" t="s">
        <v>151</v>
      </c>
      <c r="E157" s="38" t="s">
        <v>151</v>
      </c>
      <c r="F157" s="38" t="s">
        <v>151</v>
      </c>
      <c r="G157" s="38" t="s">
        <v>151</v>
      </c>
      <c r="H157" s="38" t="s">
        <v>151</v>
      </c>
      <c r="I157" s="38" t="s">
        <v>151</v>
      </c>
      <c r="J157" s="38" t="s">
        <v>151</v>
      </c>
      <c r="K157" s="38" t="s">
        <v>151</v>
      </c>
      <c r="L157" s="38" t="s">
        <v>151</v>
      </c>
      <c r="M157" s="38" t="s">
        <v>151</v>
      </c>
      <c r="N157" s="38" t="s">
        <v>151</v>
      </c>
      <c r="O157" s="38" t="s">
        <v>151</v>
      </c>
      <c r="P157" s="38" t="s">
        <v>151</v>
      </c>
      <c r="Q157" s="38" t="s">
        <v>151</v>
      </c>
      <c r="R157" s="38" t="s">
        <v>151</v>
      </c>
      <c r="S157" s="38" t="s">
        <v>151</v>
      </c>
      <c r="T157" s="38" t="s">
        <v>151</v>
      </c>
      <c r="U157" s="38" t="s">
        <v>151</v>
      </c>
      <c r="V157" s="38" t="s">
        <v>151</v>
      </c>
      <c r="W157" s="38" t="s">
        <v>151</v>
      </c>
      <c r="X157" s="45" t="s">
        <v>190</v>
      </c>
      <c r="Y157" s="38" t="s">
        <v>151</v>
      </c>
      <c r="Z157" s="38" t="s">
        <v>151</v>
      </c>
      <c r="AA157" s="38" t="s">
        <v>151</v>
      </c>
      <c r="AB157" s="45" t="s">
        <v>190</v>
      </c>
      <c r="AC157" s="38" t="s">
        <v>151</v>
      </c>
      <c r="AD157" s="38" t="s">
        <v>151</v>
      </c>
      <c r="AE157" s="38" t="s">
        <v>151</v>
      </c>
      <c r="AF157" s="45" t="s">
        <v>190</v>
      </c>
      <c r="AG157" s="38" t="s">
        <v>151</v>
      </c>
      <c r="AH157" s="38" t="s">
        <v>151</v>
      </c>
      <c r="AI157" s="38" t="s">
        <v>151</v>
      </c>
      <c r="AJ157" s="38" t="s">
        <v>151</v>
      </c>
      <c r="AK157" s="38" t="s">
        <v>151</v>
      </c>
      <c r="AL157" s="38" t="s">
        <v>151</v>
      </c>
      <c r="AM157" s="38" t="s">
        <v>151</v>
      </c>
      <c r="AN157" s="38" t="s">
        <v>151</v>
      </c>
      <c r="AO157" s="38" t="s">
        <v>151</v>
      </c>
      <c r="AP157" s="38" t="s">
        <v>151</v>
      </c>
      <c r="AQ157" s="38" t="s">
        <v>151</v>
      </c>
      <c r="AR157" s="38" t="s">
        <v>151</v>
      </c>
    </row>
    <row r="158">
      <c r="A158" s="1" t="str">
        <f>IFERROR(__xludf.DUMMYFUNCTION("""COMPUTED_VALUE"""),"Spiral")</f>
        <v>Spiral</v>
      </c>
      <c r="B158" s="38" t="s">
        <v>151</v>
      </c>
      <c r="C158" s="38" t="s">
        <v>151</v>
      </c>
      <c r="D158" s="38" t="s">
        <v>151</v>
      </c>
      <c r="E158" s="38" t="s">
        <v>151</v>
      </c>
      <c r="F158" s="38" t="s">
        <v>151</v>
      </c>
      <c r="G158" s="38" t="s">
        <v>151</v>
      </c>
      <c r="H158" s="38" t="s">
        <v>151</v>
      </c>
      <c r="I158" s="38" t="s">
        <v>151</v>
      </c>
      <c r="J158" s="38" t="s">
        <v>151</v>
      </c>
      <c r="K158" s="38" t="s">
        <v>151</v>
      </c>
      <c r="L158" s="38" t="s">
        <v>151</v>
      </c>
      <c r="M158" s="38" t="s">
        <v>151</v>
      </c>
      <c r="N158" s="38" t="s">
        <v>151</v>
      </c>
      <c r="O158" s="45" t="s">
        <v>190</v>
      </c>
      <c r="P158" s="38" t="s">
        <v>151</v>
      </c>
      <c r="Q158" s="38" t="s">
        <v>151</v>
      </c>
      <c r="R158" s="38" t="s">
        <v>151</v>
      </c>
      <c r="S158" s="38" t="s">
        <v>151</v>
      </c>
      <c r="T158" s="38" t="s">
        <v>151</v>
      </c>
      <c r="U158" s="38" t="s">
        <v>151</v>
      </c>
      <c r="V158" s="38" t="s">
        <v>151</v>
      </c>
      <c r="W158" s="38" t="s">
        <v>151</v>
      </c>
      <c r="X158" s="38" t="s">
        <v>151</v>
      </c>
      <c r="Y158" s="38" t="s">
        <v>151</v>
      </c>
      <c r="Z158" s="38" t="s">
        <v>151</v>
      </c>
      <c r="AA158" s="38" t="s">
        <v>151</v>
      </c>
      <c r="AB158" s="38" t="s">
        <v>151</v>
      </c>
      <c r="AC158" s="38" t="s">
        <v>151</v>
      </c>
      <c r="AD158" s="38" t="s">
        <v>151</v>
      </c>
      <c r="AE158" s="38" t="s">
        <v>151</v>
      </c>
      <c r="AF158" s="38" t="s">
        <v>151</v>
      </c>
      <c r="AG158" s="38" t="s">
        <v>151</v>
      </c>
      <c r="AH158" s="38" t="s">
        <v>151</v>
      </c>
      <c r="AI158" s="45" t="s">
        <v>190</v>
      </c>
      <c r="AJ158" s="38" t="s">
        <v>151</v>
      </c>
      <c r="AK158" s="38" t="s">
        <v>151</v>
      </c>
      <c r="AL158" s="38" t="s">
        <v>151</v>
      </c>
      <c r="AM158" s="38" t="s">
        <v>151</v>
      </c>
      <c r="AN158" s="38" t="s">
        <v>151</v>
      </c>
      <c r="AO158" s="38" t="s">
        <v>151</v>
      </c>
      <c r="AP158" s="38" t="s">
        <v>151</v>
      </c>
      <c r="AQ158" s="38" t="s">
        <v>151</v>
      </c>
      <c r="AR158" s="38" t="s">
        <v>151</v>
      </c>
    </row>
    <row r="159">
      <c r="A159" s="1" t="str">
        <f>IFERROR(__xludf.DUMMYFUNCTION("""COMPUTED_VALUE"""),"Spot")</f>
        <v>Spot</v>
      </c>
      <c r="B159" s="38" t="s">
        <v>151</v>
      </c>
      <c r="C159" s="38" t="s">
        <v>151</v>
      </c>
      <c r="D159" s="38" t="s">
        <v>151</v>
      </c>
      <c r="E159" s="38" t="s">
        <v>151</v>
      </c>
      <c r="F159" s="38" t="s">
        <v>151</v>
      </c>
      <c r="G159" s="45" t="s">
        <v>190</v>
      </c>
      <c r="H159" s="38" t="s">
        <v>151</v>
      </c>
      <c r="I159" s="38" t="s">
        <v>151</v>
      </c>
      <c r="J159" s="38" t="s">
        <v>151</v>
      </c>
      <c r="K159" s="38" t="s">
        <v>151</v>
      </c>
      <c r="L159" s="38" t="s">
        <v>151</v>
      </c>
      <c r="M159" s="38" t="s">
        <v>151</v>
      </c>
      <c r="N159" s="38" t="s">
        <v>151</v>
      </c>
      <c r="O159" s="38" t="s">
        <v>151</v>
      </c>
      <c r="P159" s="38" t="s">
        <v>151</v>
      </c>
      <c r="Q159" s="38" t="s">
        <v>151</v>
      </c>
      <c r="R159" s="38" t="s">
        <v>151</v>
      </c>
      <c r="S159" s="38" t="s">
        <v>151</v>
      </c>
      <c r="T159" s="38" t="s">
        <v>151</v>
      </c>
      <c r="U159" s="38" t="s">
        <v>151</v>
      </c>
      <c r="V159" s="38" t="s">
        <v>151</v>
      </c>
      <c r="W159" s="38" t="s">
        <v>151</v>
      </c>
      <c r="X159" s="38" t="s">
        <v>151</v>
      </c>
      <c r="Y159" s="38" t="s">
        <v>151</v>
      </c>
      <c r="Z159" s="38" t="s">
        <v>151</v>
      </c>
      <c r="AA159" s="38" t="s">
        <v>151</v>
      </c>
      <c r="AB159" s="38" t="s">
        <v>151</v>
      </c>
      <c r="AC159" s="38" t="s">
        <v>151</v>
      </c>
      <c r="AD159" s="38" t="s">
        <v>151</v>
      </c>
      <c r="AE159" s="38" t="s">
        <v>151</v>
      </c>
      <c r="AF159" s="38" t="s">
        <v>151</v>
      </c>
      <c r="AG159" s="38" t="s">
        <v>151</v>
      </c>
      <c r="AH159" s="38" t="s">
        <v>151</v>
      </c>
      <c r="AI159" s="38" t="s">
        <v>151</v>
      </c>
      <c r="AJ159" s="38" t="s">
        <v>151</v>
      </c>
      <c r="AK159" s="38" t="s">
        <v>151</v>
      </c>
      <c r="AL159" s="38" t="s">
        <v>151</v>
      </c>
      <c r="AM159" s="38" t="s">
        <v>151</v>
      </c>
      <c r="AN159" s="38" t="s">
        <v>151</v>
      </c>
      <c r="AO159" s="38" t="s">
        <v>151</v>
      </c>
      <c r="AP159" s="45" t="s">
        <v>190</v>
      </c>
      <c r="AQ159" s="38" t="s">
        <v>151</v>
      </c>
      <c r="AR159" s="38" t="s">
        <v>151</v>
      </c>
    </row>
    <row r="160">
      <c r="A160" s="1" t="str">
        <f>IFERROR(__xludf.DUMMYFUNCTION("""COMPUTED_VALUE"""),"Storm")</f>
        <v>Storm</v>
      </c>
      <c r="B160" s="38" t="s">
        <v>151</v>
      </c>
      <c r="C160" s="38" t="s">
        <v>151</v>
      </c>
      <c r="D160" s="38" t="s">
        <v>151</v>
      </c>
      <c r="E160" s="38" t="s">
        <v>151</v>
      </c>
      <c r="F160" s="38" t="s">
        <v>151</v>
      </c>
      <c r="G160" s="38" t="s">
        <v>151</v>
      </c>
      <c r="H160" s="45" t="s">
        <v>190</v>
      </c>
      <c r="I160" s="38" t="s">
        <v>151</v>
      </c>
      <c r="J160" s="38" t="s">
        <v>151</v>
      </c>
      <c r="K160" s="38" t="s">
        <v>151</v>
      </c>
      <c r="L160" s="38" t="s">
        <v>151</v>
      </c>
      <c r="M160" s="38" t="s">
        <v>151</v>
      </c>
      <c r="N160" s="38" t="s">
        <v>151</v>
      </c>
      <c r="O160" s="38" t="s">
        <v>151</v>
      </c>
      <c r="P160" s="38" t="s">
        <v>151</v>
      </c>
      <c r="Q160" s="38" t="s">
        <v>151</v>
      </c>
      <c r="R160" s="38" t="s">
        <v>151</v>
      </c>
      <c r="S160" s="38" t="s">
        <v>151</v>
      </c>
      <c r="T160" s="45" t="s">
        <v>190</v>
      </c>
      <c r="U160" s="38" t="s">
        <v>151</v>
      </c>
      <c r="V160" s="38" t="s">
        <v>151</v>
      </c>
      <c r="W160" s="38" t="s">
        <v>151</v>
      </c>
      <c r="X160" s="38" t="s">
        <v>151</v>
      </c>
      <c r="Y160" s="38" t="s">
        <v>151</v>
      </c>
      <c r="Z160" s="38" t="s">
        <v>151</v>
      </c>
      <c r="AA160" s="38" t="s">
        <v>151</v>
      </c>
      <c r="AB160" s="38" t="s">
        <v>151</v>
      </c>
      <c r="AC160" s="38" t="s">
        <v>151</v>
      </c>
      <c r="AD160" s="38" t="s">
        <v>151</v>
      </c>
      <c r="AE160" s="38" t="s">
        <v>151</v>
      </c>
      <c r="AF160" s="38" t="s">
        <v>151</v>
      </c>
      <c r="AG160" s="38" t="s">
        <v>151</v>
      </c>
      <c r="AH160" s="38" t="s">
        <v>151</v>
      </c>
      <c r="AI160" s="38" t="s">
        <v>151</v>
      </c>
      <c r="AJ160" s="38" t="s">
        <v>151</v>
      </c>
      <c r="AK160" s="45" t="s">
        <v>190</v>
      </c>
      <c r="AL160" s="38" t="s">
        <v>151</v>
      </c>
      <c r="AM160" s="38" t="s">
        <v>151</v>
      </c>
      <c r="AN160" s="38" t="s">
        <v>151</v>
      </c>
      <c r="AO160" s="38" t="s">
        <v>151</v>
      </c>
      <c r="AP160" s="38" t="s">
        <v>151</v>
      </c>
      <c r="AQ160" s="38" t="s">
        <v>151</v>
      </c>
      <c r="AR160" s="38" t="s">
        <v>151</v>
      </c>
    </row>
    <row r="161">
      <c r="A161" s="1" t="str">
        <f>IFERROR(__xludf.DUMMYFUNCTION("""COMPUTED_VALUE"""),"Storm (Pyramid X)")</f>
        <v>Storm (Pyramid X)</v>
      </c>
      <c r="B161" s="38" t="s">
        <v>151</v>
      </c>
      <c r="C161" s="38" t="s">
        <v>151</v>
      </c>
      <c r="D161" s="38" t="s">
        <v>151</v>
      </c>
      <c r="E161" s="38" t="s">
        <v>151</v>
      </c>
      <c r="F161" s="38" t="s">
        <v>151</v>
      </c>
      <c r="G161" s="38" t="s">
        <v>151</v>
      </c>
      <c r="H161" s="45" t="s">
        <v>190</v>
      </c>
      <c r="I161" s="38" t="s">
        <v>151</v>
      </c>
      <c r="J161" s="38" t="s">
        <v>151</v>
      </c>
      <c r="K161" s="38" t="s">
        <v>151</v>
      </c>
      <c r="L161" s="38" t="s">
        <v>151</v>
      </c>
      <c r="M161" s="38" t="s">
        <v>151</v>
      </c>
      <c r="N161" s="38" t="s">
        <v>151</v>
      </c>
      <c r="O161" s="38" t="s">
        <v>151</v>
      </c>
      <c r="P161" s="38" t="s">
        <v>151</v>
      </c>
      <c r="Q161" s="38" t="s">
        <v>151</v>
      </c>
      <c r="R161" s="45" t="s">
        <v>190</v>
      </c>
      <c r="S161" s="38" t="s">
        <v>151</v>
      </c>
      <c r="T161" s="45" t="s">
        <v>190</v>
      </c>
      <c r="U161" s="38" t="s">
        <v>151</v>
      </c>
      <c r="V161" s="38" t="s">
        <v>151</v>
      </c>
      <c r="W161" s="38" t="s">
        <v>151</v>
      </c>
      <c r="X161" s="38" t="s">
        <v>151</v>
      </c>
      <c r="Y161" s="38" t="s">
        <v>151</v>
      </c>
      <c r="Z161" s="38" t="s">
        <v>151</v>
      </c>
      <c r="AA161" s="38" t="s">
        <v>151</v>
      </c>
      <c r="AB161" s="38" t="s">
        <v>151</v>
      </c>
      <c r="AC161" s="38" t="s">
        <v>151</v>
      </c>
      <c r="AD161" s="38" t="s">
        <v>151</v>
      </c>
      <c r="AE161" s="38" t="s">
        <v>151</v>
      </c>
      <c r="AF161" s="38" t="s">
        <v>151</v>
      </c>
      <c r="AG161" s="38" t="s">
        <v>151</v>
      </c>
      <c r="AH161" s="38" t="s">
        <v>151</v>
      </c>
      <c r="AI161" s="38" t="s">
        <v>151</v>
      </c>
      <c r="AJ161" s="38" t="s">
        <v>151</v>
      </c>
      <c r="AK161" s="38" t="s">
        <v>151</v>
      </c>
      <c r="AL161" s="38" t="s">
        <v>151</v>
      </c>
      <c r="AM161" s="38" t="s">
        <v>151</v>
      </c>
      <c r="AN161" s="38" t="s">
        <v>151</v>
      </c>
      <c r="AO161" s="38" t="s">
        <v>151</v>
      </c>
      <c r="AP161" s="38" t="s">
        <v>151</v>
      </c>
      <c r="AQ161" s="38" t="s">
        <v>151</v>
      </c>
      <c r="AR161" s="38" t="s">
        <v>151</v>
      </c>
    </row>
    <row r="162">
      <c r="A162" s="1" t="str">
        <f>IFERROR(__xludf.DUMMYFUNCTION("""COMPUTED_VALUE"""),"Sunspot")</f>
        <v>Sunspot</v>
      </c>
      <c r="B162" s="38" t="s">
        <v>151</v>
      </c>
      <c r="C162" s="38" t="s">
        <v>151</v>
      </c>
      <c r="D162" s="38" t="s">
        <v>151</v>
      </c>
      <c r="E162" s="38" t="s">
        <v>151</v>
      </c>
      <c r="F162" s="38" t="s">
        <v>151</v>
      </c>
      <c r="G162" s="38" t="s">
        <v>151</v>
      </c>
      <c r="H162" s="38" t="s">
        <v>151</v>
      </c>
      <c r="I162" s="38" t="s">
        <v>151</v>
      </c>
      <c r="J162" s="38" t="s">
        <v>151</v>
      </c>
      <c r="K162" s="38" t="s">
        <v>151</v>
      </c>
      <c r="L162" s="38" t="s">
        <v>151</v>
      </c>
      <c r="M162" s="38" t="s">
        <v>151</v>
      </c>
      <c r="N162" s="38" t="s">
        <v>151</v>
      </c>
      <c r="O162" s="38" t="s">
        <v>151</v>
      </c>
      <c r="P162" s="38" t="s">
        <v>151</v>
      </c>
      <c r="Q162" s="38" t="s">
        <v>151</v>
      </c>
      <c r="R162" s="38" t="s">
        <v>151</v>
      </c>
      <c r="S162" s="38" t="s">
        <v>151</v>
      </c>
      <c r="T162" s="45" t="s">
        <v>190</v>
      </c>
      <c r="U162" s="38" t="s">
        <v>151</v>
      </c>
      <c r="V162" s="38" t="s">
        <v>151</v>
      </c>
      <c r="W162" s="38" t="s">
        <v>151</v>
      </c>
      <c r="X162" s="38" t="s">
        <v>151</v>
      </c>
      <c r="Y162" s="38" t="s">
        <v>151</v>
      </c>
      <c r="Z162" s="38" t="s">
        <v>151</v>
      </c>
      <c r="AA162" s="38" t="s">
        <v>151</v>
      </c>
      <c r="AB162" s="38" t="s">
        <v>151</v>
      </c>
      <c r="AC162" s="38" t="s">
        <v>151</v>
      </c>
      <c r="AD162" s="38" t="s">
        <v>151</v>
      </c>
      <c r="AE162" s="38" t="s">
        <v>151</v>
      </c>
      <c r="AF162" s="38" t="s">
        <v>151</v>
      </c>
      <c r="AG162" s="38" t="s">
        <v>151</v>
      </c>
      <c r="AH162" s="38" t="s">
        <v>151</v>
      </c>
      <c r="AI162" s="38" t="s">
        <v>151</v>
      </c>
      <c r="AJ162" s="38" t="s">
        <v>151</v>
      </c>
      <c r="AK162" s="38" t="s">
        <v>151</v>
      </c>
      <c r="AL162" s="38" t="s">
        <v>151</v>
      </c>
      <c r="AM162" s="38" t="s">
        <v>151</v>
      </c>
      <c r="AN162" s="38" t="s">
        <v>151</v>
      </c>
      <c r="AO162" s="38" t="s">
        <v>151</v>
      </c>
      <c r="AP162" s="38" t="s">
        <v>151</v>
      </c>
      <c r="AQ162" s="38" t="s">
        <v>151</v>
      </c>
      <c r="AR162" s="38" t="s">
        <v>151</v>
      </c>
    </row>
    <row r="163">
      <c r="A163" s="1" t="str">
        <f>IFERROR(__xludf.DUMMYFUNCTION("""COMPUTED_VALUE"""),"Super-Skrull")</f>
        <v>Super-Skrull</v>
      </c>
      <c r="B163" s="38" t="s">
        <v>151</v>
      </c>
      <c r="C163" s="38" t="s">
        <v>151</v>
      </c>
      <c r="D163" s="38" t="s">
        <v>151</v>
      </c>
      <c r="E163" s="38" t="s">
        <v>151</v>
      </c>
      <c r="F163" s="38" t="s">
        <v>151</v>
      </c>
      <c r="G163" s="38" t="s">
        <v>151</v>
      </c>
      <c r="H163" s="38" t="s">
        <v>151</v>
      </c>
      <c r="I163" s="38" t="s">
        <v>151</v>
      </c>
      <c r="J163" s="38" t="s">
        <v>151</v>
      </c>
      <c r="K163" s="38" t="s">
        <v>151</v>
      </c>
      <c r="L163" s="38" t="s">
        <v>151</v>
      </c>
      <c r="M163" s="38" t="s">
        <v>151</v>
      </c>
      <c r="N163" s="38" t="s">
        <v>151</v>
      </c>
      <c r="O163" s="38" t="s">
        <v>151</v>
      </c>
      <c r="P163" s="38" t="s">
        <v>151</v>
      </c>
      <c r="Q163" s="38" t="s">
        <v>151</v>
      </c>
      <c r="R163" s="38" t="s">
        <v>151</v>
      </c>
      <c r="S163" s="38" t="s">
        <v>151</v>
      </c>
      <c r="T163" s="45" t="s">
        <v>190</v>
      </c>
      <c r="U163" s="38" t="s">
        <v>151</v>
      </c>
      <c r="V163" s="38" t="s">
        <v>151</v>
      </c>
      <c r="W163" s="38" t="s">
        <v>151</v>
      </c>
      <c r="X163" s="38" t="s">
        <v>151</v>
      </c>
      <c r="Y163" s="38" t="s">
        <v>151</v>
      </c>
      <c r="Z163" s="38" t="s">
        <v>151</v>
      </c>
      <c r="AA163" s="38" t="s">
        <v>151</v>
      </c>
      <c r="AB163" s="38" t="s">
        <v>151</v>
      </c>
      <c r="AC163" s="38" t="s">
        <v>151</v>
      </c>
      <c r="AD163" s="38" t="s">
        <v>151</v>
      </c>
      <c r="AE163" s="38" t="s">
        <v>151</v>
      </c>
      <c r="AF163" s="38" t="s">
        <v>151</v>
      </c>
      <c r="AG163" s="38" t="s">
        <v>151</v>
      </c>
      <c r="AH163" s="38" t="s">
        <v>151</v>
      </c>
      <c r="AI163" s="38" t="s">
        <v>151</v>
      </c>
      <c r="AJ163" s="38" t="s">
        <v>151</v>
      </c>
      <c r="AK163" s="45" t="s">
        <v>190</v>
      </c>
      <c r="AL163" s="38" t="s">
        <v>151</v>
      </c>
      <c r="AM163" s="38" t="s">
        <v>151</v>
      </c>
      <c r="AN163" s="38" t="s">
        <v>151</v>
      </c>
      <c r="AO163" s="38" t="s">
        <v>151</v>
      </c>
      <c r="AP163" s="38" t="s">
        <v>151</v>
      </c>
      <c r="AQ163" s="38" t="s">
        <v>151</v>
      </c>
      <c r="AR163" s="38" t="s">
        <v>151</v>
      </c>
    </row>
    <row r="164">
      <c r="A164" s="1" t="str">
        <f>IFERROR(__xludf.DUMMYFUNCTION("""COMPUTED_VALUE"""),"Terrax")</f>
        <v>Terrax</v>
      </c>
      <c r="B164" s="38" t="s">
        <v>151</v>
      </c>
      <c r="C164" s="38" t="s">
        <v>151</v>
      </c>
      <c r="D164" s="38" t="s">
        <v>151</v>
      </c>
      <c r="E164" s="38" t="s">
        <v>151</v>
      </c>
      <c r="F164" s="45" t="s">
        <v>190</v>
      </c>
      <c r="G164" s="38" t="s">
        <v>151</v>
      </c>
      <c r="H164" s="38" t="s">
        <v>151</v>
      </c>
      <c r="I164" s="38" t="s">
        <v>151</v>
      </c>
      <c r="J164" s="38" t="s">
        <v>151</v>
      </c>
      <c r="K164" s="38" t="s">
        <v>151</v>
      </c>
      <c r="L164" s="38" t="s">
        <v>151</v>
      </c>
      <c r="M164" s="38" t="s">
        <v>151</v>
      </c>
      <c r="N164" s="38" t="s">
        <v>151</v>
      </c>
      <c r="O164" s="38" t="s">
        <v>151</v>
      </c>
      <c r="P164" s="38" t="s">
        <v>151</v>
      </c>
      <c r="Q164" s="38" t="s">
        <v>151</v>
      </c>
      <c r="R164" s="38" t="s">
        <v>151</v>
      </c>
      <c r="S164" s="38" t="s">
        <v>151</v>
      </c>
      <c r="T164" s="38" t="s">
        <v>151</v>
      </c>
      <c r="U164" s="38" t="s">
        <v>151</v>
      </c>
      <c r="V164" s="38" t="s">
        <v>151</v>
      </c>
      <c r="W164" s="38" t="s">
        <v>151</v>
      </c>
      <c r="X164" s="38" t="s">
        <v>151</v>
      </c>
      <c r="Y164" s="38" t="s">
        <v>151</v>
      </c>
      <c r="Z164" s="38" t="s">
        <v>151</v>
      </c>
      <c r="AA164" s="38" t="s">
        <v>151</v>
      </c>
      <c r="AB164" s="38" t="s">
        <v>151</v>
      </c>
      <c r="AC164" s="38" t="s">
        <v>151</v>
      </c>
      <c r="AD164" s="38" t="s">
        <v>151</v>
      </c>
      <c r="AE164" s="38" t="s">
        <v>151</v>
      </c>
      <c r="AF164" s="38" t="s">
        <v>151</v>
      </c>
      <c r="AG164" s="38" t="s">
        <v>151</v>
      </c>
      <c r="AH164" s="38" t="s">
        <v>151</v>
      </c>
      <c r="AI164" s="38" t="s">
        <v>151</v>
      </c>
      <c r="AJ164" s="38" t="s">
        <v>151</v>
      </c>
      <c r="AK164" s="45" t="s">
        <v>190</v>
      </c>
      <c r="AL164" s="38" t="s">
        <v>151</v>
      </c>
      <c r="AM164" s="38" t="s">
        <v>151</v>
      </c>
      <c r="AN164" s="38" t="s">
        <v>151</v>
      </c>
      <c r="AO164" s="38" t="s">
        <v>151</v>
      </c>
      <c r="AP164" s="38" t="s">
        <v>151</v>
      </c>
      <c r="AQ164" s="38" t="s">
        <v>151</v>
      </c>
      <c r="AR164" s="38" t="s">
        <v>151</v>
      </c>
    </row>
    <row r="165">
      <c r="A165" s="1" t="str">
        <f>IFERROR(__xludf.DUMMYFUNCTION("""COMPUTED_VALUE"""),"Thanos (Deathless)")</f>
        <v>Thanos (Deathless)</v>
      </c>
      <c r="B165" s="38" t="s">
        <v>151</v>
      </c>
      <c r="C165" s="38" t="s">
        <v>151</v>
      </c>
      <c r="D165" s="38" t="s">
        <v>151</v>
      </c>
      <c r="E165" s="38" t="s">
        <v>151</v>
      </c>
      <c r="F165" s="38" t="s">
        <v>151</v>
      </c>
      <c r="G165" s="38" t="s">
        <v>151</v>
      </c>
      <c r="H165" s="45" t="s">
        <v>190</v>
      </c>
      <c r="I165" s="38" t="s">
        <v>151</v>
      </c>
      <c r="J165" s="38" t="s">
        <v>151</v>
      </c>
      <c r="K165" s="38" t="s">
        <v>151</v>
      </c>
      <c r="L165" s="38" t="s">
        <v>151</v>
      </c>
      <c r="M165" s="38" t="s">
        <v>151</v>
      </c>
      <c r="N165" s="38" t="s">
        <v>151</v>
      </c>
      <c r="O165" s="38" t="s">
        <v>151</v>
      </c>
      <c r="P165" s="38" t="s">
        <v>151</v>
      </c>
      <c r="Q165" s="38" t="s">
        <v>151</v>
      </c>
      <c r="R165" s="45" t="s">
        <v>190</v>
      </c>
      <c r="S165" s="38" t="s">
        <v>151</v>
      </c>
      <c r="T165" s="38" t="s">
        <v>151</v>
      </c>
      <c r="U165" s="38" t="s">
        <v>151</v>
      </c>
      <c r="V165" s="38" t="s">
        <v>151</v>
      </c>
      <c r="W165" s="38" t="s">
        <v>151</v>
      </c>
      <c r="X165" s="38" t="s">
        <v>151</v>
      </c>
      <c r="Y165" s="38" t="s">
        <v>151</v>
      </c>
      <c r="Z165" s="38" t="s">
        <v>151</v>
      </c>
      <c r="AA165" s="38" t="s">
        <v>151</v>
      </c>
      <c r="AB165" s="45" t="s">
        <v>190</v>
      </c>
      <c r="AC165" s="45" t="s">
        <v>190</v>
      </c>
      <c r="AD165" s="45" t="s">
        <v>190</v>
      </c>
      <c r="AE165" s="38" t="s">
        <v>151</v>
      </c>
      <c r="AF165" s="38" t="s">
        <v>151</v>
      </c>
      <c r="AG165" s="38" t="s">
        <v>151</v>
      </c>
      <c r="AH165" s="38" t="s">
        <v>151</v>
      </c>
      <c r="AI165" s="45" t="s">
        <v>190</v>
      </c>
      <c r="AJ165" s="45" t="s">
        <v>190</v>
      </c>
      <c r="AK165" s="38" t="s">
        <v>151</v>
      </c>
      <c r="AL165" s="38" t="s">
        <v>151</v>
      </c>
      <c r="AM165" s="38" t="s">
        <v>151</v>
      </c>
      <c r="AN165" s="38" t="s">
        <v>151</v>
      </c>
      <c r="AO165" s="38" t="s">
        <v>151</v>
      </c>
      <c r="AP165" s="38" t="s">
        <v>151</v>
      </c>
      <c r="AQ165" s="38" t="s">
        <v>151</v>
      </c>
      <c r="AR165" s="38" t="s">
        <v>151</v>
      </c>
    </row>
    <row r="166">
      <c r="A166" s="1" t="str">
        <f>IFERROR(__xludf.DUMMYFUNCTION("""COMPUTED_VALUE"""),"The Champion")</f>
        <v>The Champion</v>
      </c>
      <c r="B166" s="38" t="s">
        <v>151</v>
      </c>
      <c r="C166" s="38" t="s">
        <v>151</v>
      </c>
      <c r="D166" s="38" t="s">
        <v>151</v>
      </c>
      <c r="E166" s="38" t="s">
        <v>151</v>
      </c>
      <c r="F166" s="38" t="s">
        <v>151</v>
      </c>
      <c r="G166" s="38" t="s">
        <v>151</v>
      </c>
      <c r="H166" s="38" t="s">
        <v>151</v>
      </c>
      <c r="I166" s="38" t="s">
        <v>151</v>
      </c>
      <c r="J166" s="38" t="s">
        <v>151</v>
      </c>
      <c r="K166" s="38" t="s">
        <v>151</v>
      </c>
      <c r="L166" s="38" t="s">
        <v>151</v>
      </c>
      <c r="M166" s="38" t="s">
        <v>151</v>
      </c>
      <c r="N166" s="38" t="s">
        <v>151</v>
      </c>
      <c r="O166" s="38" t="s">
        <v>151</v>
      </c>
      <c r="P166" s="45" t="s">
        <v>190</v>
      </c>
      <c r="Q166" s="38" t="s">
        <v>151</v>
      </c>
      <c r="R166" s="38" t="s">
        <v>151</v>
      </c>
      <c r="S166" s="45" t="s">
        <v>190</v>
      </c>
      <c r="T166" s="38" t="s">
        <v>151</v>
      </c>
      <c r="U166" s="38" t="s">
        <v>151</v>
      </c>
      <c r="V166" s="38" t="s">
        <v>151</v>
      </c>
      <c r="W166" s="38" t="s">
        <v>151</v>
      </c>
      <c r="X166" s="38" t="s">
        <v>151</v>
      </c>
      <c r="Y166" s="38" t="s">
        <v>151</v>
      </c>
      <c r="Z166" s="38" t="s">
        <v>151</v>
      </c>
      <c r="AA166" s="45" t="s">
        <v>190</v>
      </c>
      <c r="AB166" s="38" t="s">
        <v>151</v>
      </c>
      <c r="AC166" s="38" t="s">
        <v>151</v>
      </c>
      <c r="AD166" s="38" t="s">
        <v>151</v>
      </c>
      <c r="AE166" s="38" t="s">
        <v>151</v>
      </c>
      <c r="AF166" s="38" t="s">
        <v>151</v>
      </c>
      <c r="AG166" s="38" t="s">
        <v>151</v>
      </c>
      <c r="AH166" s="38" t="s">
        <v>151</v>
      </c>
      <c r="AI166" s="38" t="s">
        <v>151</v>
      </c>
      <c r="AJ166" s="38" t="s">
        <v>151</v>
      </c>
      <c r="AK166" s="38" t="s">
        <v>151</v>
      </c>
      <c r="AL166" s="38" t="s">
        <v>151</v>
      </c>
      <c r="AM166" s="38" t="s">
        <v>151</v>
      </c>
      <c r="AN166" s="38" t="s">
        <v>151</v>
      </c>
      <c r="AO166" s="38" t="s">
        <v>151</v>
      </c>
      <c r="AP166" s="38" t="s">
        <v>151</v>
      </c>
      <c r="AQ166" s="38" t="s">
        <v>151</v>
      </c>
      <c r="AR166" s="38" t="s">
        <v>151</v>
      </c>
    </row>
    <row r="167">
      <c r="A167" s="1" t="str">
        <f>IFERROR(__xludf.DUMMYFUNCTION("""COMPUTED_VALUE"""),"The Destroyer")</f>
        <v>The Destroyer</v>
      </c>
      <c r="B167" s="38" t="s">
        <v>151</v>
      </c>
      <c r="C167" s="45" t="s">
        <v>190</v>
      </c>
      <c r="D167" s="38" t="s">
        <v>151</v>
      </c>
      <c r="E167" s="38" t="s">
        <v>151</v>
      </c>
      <c r="F167" s="45" t="s">
        <v>190</v>
      </c>
      <c r="G167" s="38" t="s">
        <v>151</v>
      </c>
      <c r="H167" s="38" t="s">
        <v>151</v>
      </c>
      <c r="I167" s="38" t="s">
        <v>151</v>
      </c>
      <c r="J167" s="38" t="s">
        <v>151</v>
      </c>
      <c r="K167" s="38" t="s">
        <v>151</v>
      </c>
      <c r="L167" s="38" t="s">
        <v>151</v>
      </c>
      <c r="M167" s="38" t="s">
        <v>151</v>
      </c>
      <c r="N167" s="38" t="s">
        <v>151</v>
      </c>
      <c r="O167" s="38" t="s">
        <v>151</v>
      </c>
      <c r="P167" s="38" t="s">
        <v>151</v>
      </c>
      <c r="Q167" s="38" t="s">
        <v>151</v>
      </c>
      <c r="R167" s="38" t="s">
        <v>151</v>
      </c>
      <c r="S167" s="38" t="s">
        <v>151</v>
      </c>
      <c r="T167" s="38" t="s">
        <v>151</v>
      </c>
      <c r="U167" s="45" t="s">
        <v>190</v>
      </c>
      <c r="V167" s="45" t="s">
        <v>190</v>
      </c>
      <c r="W167" s="38" t="s">
        <v>151</v>
      </c>
      <c r="X167" s="38" t="s">
        <v>151</v>
      </c>
      <c r="Y167" s="38" t="s">
        <v>151</v>
      </c>
      <c r="Z167" s="38" t="s">
        <v>151</v>
      </c>
      <c r="AA167" s="38" t="s">
        <v>151</v>
      </c>
      <c r="AB167" s="45" t="s">
        <v>190</v>
      </c>
      <c r="AC167" s="38" t="s">
        <v>151</v>
      </c>
      <c r="AD167" s="38" t="s">
        <v>151</v>
      </c>
      <c r="AE167" s="38" t="s">
        <v>151</v>
      </c>
      <c r="AF167" s="38" t="s">
        <v>151</v>
      </c>
      <c r="AG167" s="38" t="s">
        <v>151</v>
      </c>
      <c r="AH167" s="38" t="s">
        <v>151</v>
      </c>
      <c r="AI167" s="38" t="s">
        <v>151</v>
      </c>
      <c r="AJ167" s="38" t="s">
        <v>151</v>
      </c>
      <c r="AK167" s="38" t="s">
        <v>151</v>
      </c>
      <c r="AL167" s="45" t="s">
        <v>190</v>
      </c>
      <c r="AM167" s="38" t="s">
        <v>151</v>
      </c>
      <c r="AN167" s="38" t="s">
        <v>151</v>
      </c>
      <c r="AO167" s="38" t="s">
        <v>151</v>
      </c>
      <c r="AP167" s="38" t="s">
        <v>151</v>
      </c>
      <c r="AQ167" s="38" t="s">
        <v>151</v>
      </c>
      <c r="AR167" s="38" t="s">
        <v>151</v>
      </c>
    </row>
    <row r="168">
      <c r="A168" s="1" t="str">
        <f>IFERROR(__xludf.DUMMYFUNCTION("""COMPUTED_VALUE"""),"The Hood")</f>
        <v>The Hood</v>
      </c>
      <c r="B168" s="38" t="s">
        <v>151</v>
      </c>
      <c r="C168" s="38" t="s">
        <v>151</v>
      </c>
      <c r="D168" s="38" t="s">
        <v>151</v>
      </c>
      <c r="E168" s="38" t="s">
        <v>151</v>
      </c>
      <c r="F168" s="45" t="s">
        <v>190</v>
      </c>
      <c r="G168" s="38" t="s">
        <v>151</v>
      </c>
      <c r="H168" s="38" t="s">
        <v>151</v>
      </c>
      <c r="I168" s="38" t="s">
        <v>151</v>
      </c>
      <c r="J168" s="38" t="s">
        <v>151</v>
      </c>
      <c r="K168" s="38" t="s">
        <v>151</v>
      </c>
      <c r="L168" s="38" t="s">
        <v>151</v>
      </c>
      <c r="M168" s="38" t="s">
        <v>151</v>
      </c>
      <c r="N168" s="38" t="s">
        <v>151</v>
      </c>
      <c r="O168" s="38" t="s">
        <v>151</v>
      </c>
      <c r="P168" s="38" t="s">
        <v>151</v>
      </c>
      <c r="Q168" s="38" t="s">
        <v>151</v>
      </c>
      <c r="R168" s="38" t="s">
        <v>151</v>
      </c>
      <c r="S168" s="38" t="s">
        <v>151</v>
      </c>
      <c r="T168" s="38" t="s">
        <v>151</v>
      </c>
      <c r="U168" s="38" t="s">
        <v>151</v>
      </c>
      <c r="V168" s="38" t="s">
        <v>151</v>
      </c>
      <c r="W168" s="38" t="s">
        <v>151</v>
      </c>
      <c r="X168" s="38" t="s">
        <v>151</v>
      </c>
      <c r="Y168" s="38" t="s">
        <v>151</v>
      </c>
      <c r="Z168" s="38" t="s">
        <v>151</v>
      </c>
      <c r="AA168" s="38" t="s">
        <v>151</v>
      </c>
      <c r="AB168" s="38" t="s">
        <v>151</v>
      </c>
      <c r="AC168" s="38" t="s">
        <v>151</v>
      </c>
      <c r="AD168" s="38" t="s">
        <v>151</v>
      </c>
      <c r="AE168" s="38" t="s">
        <v>151</v>
      </c>
      <c r="AF168" s="38" t="s">
        <v>151</v>
      </c>
      <c r="AG168" s="38" t="s">
        <v>151</v>
      </c>
      <c r="AH168" s="38" t="s">
        <v>151</v>
      </c>
      <c r="AI168" s="38" t="s">
        <v>151</v>
      </c>
      <c r="AJ168" s="38" t="s">
        <v>151</v>
      </c>
      <c r="AK168" s="38" t="s">
        <v>151</v>
      </c>
      <c r="AL168" s="38" t="s">
        <v>151</v>
      </c>
      <c r="AM168" s="38" t="s">
        <v>151</v>
      </c>
      <c r="AN168" s="38" t="s">
        <v>151</v>
      </c>
      <c r="AO168" s="38" t="s">
        <v>151</v>
      </c>
      <c r="AP168" s="45" t="s">
        <v>190</v>
      </c>
      <c r="AQ168" s="38" t="s">
        <v>151</v>
      </c>
      <c r="AR168" s="38" t="s">
        <v>151</v>
      </c>
    </row>
    <row r="169">
      <c r="A169" s="1" t="str">
        <f>IFERROR(__xludf.DUMMYFUNCTION("""COMPUTED_VALUE"""),"The Leader")</f>
        <v>The Leader</v>
      </c>
      <c r="B169" s="38" t="s">
        <v>151</v>
      </c>
      <c r="C169" s="38" t="s">
        <v>151</v>
      </c>
      <c r="D169" s="38" t="s">
        <v>151</v>
      </c>
      <c r="E169" s="38" t="s">
        <v>151</v>
      </c>
      <c r="F169" s="38" t="s">
        <v>151</v>
      </c>
      <c r="G169" s="38" t="s">
        <v>151</v>
      </c>
      <c r="H169" s="38" t="s">
        <v>151</v>
      </c>
      <c r="I169" s="38" t="s">
        <v>151</v>
      </c>
      <c r="J169" s="38" t="s">
        <v>151</v>
      </c>
      <c r="K169" s="38" t="s">
        <v>151</v>
      </c>
      <c r="L169" s="38" t="s">
        <v>151</v>
      </c>
      <c r="M169" s="38" t="s">
        <v>151</v>
      </c>
      <c r="N169" s="38" t="s">
        <v>151</v>
      </c>
      <c r="O169" s="38" t="s">
        <v>151</v>
      </c>
      <c r="P169" s="38" t="s">
        <v>151</v>
      </c>
      <c r="Q169" s="38" t="s">
        <v>151</v>
      </c>
      <c r="R169" s="38" t="s">
        <v>151</v>
      </c>
      <c r="S169" s="38" t="s">
        <v>151</v>
      </c>
      <c r="T169" s="38" t="s">
        <v>151</v>
      </c>
      <c r="U169" s="38" t="s">
        <v>151</v>
      </c>
      <c r="V169" s="38" t="s">
        <v>151</v>
      </c>
      <c r="W169" s="38" t="s">
        <v>151</v>
      </c>
      <c r="X169" s="38" t="s">
        <v>151</v>
      </c>
      <c r="Y169" s="38" t="s">
        <v>151</v>
      </c>
      <c r="Z169" s="38" t="s">
        <v>151</v>
      </c>
      <c r="AA169" s="38" t="s">
        <v>151</v>
      </c>
      <c r="AB169" s="45" t="s">
        <v>190</v>
      </c>
      <c r="AC169" s="38" t="s">
        <v>151</v>
      </c>
      <c r="AD169" s="38" t="s">
        <v>151</v>
      </c>
      <c r="AE169" s="38" t="s">
        <v>151</v>
      </c>
      <c r="AF169" s="38" t="s">
        <v>151</v>
      </c>
      <c r="AG169" s="38" t="s">
        <v>151</v>
      </c>
      <c r="AH169" s="38" t="s">
        <v>151</v>
      </c>
      <c r="AI169" s="38" t="s">
        <v>151</v>
      </c>
      <c r="AJ169" s="38" t="s">
        <v>151</v>
      </c>
      <c r="AK169" s="38" t="s">
        <v>151</v>
      </c>
      <c r="AL169" s="38" t="s">
        <v>151</v>
      </c>
      <c r="AM169" s="38" t="s">
        <v>151</v>
      </c>
      <c r="AN169" s="38" t="s">
        <v>151</v>
      </c>
      <c r="AO169" s="38" t="s">
        <v>151</v>
      </c>
      <c r="AP169" s="38" t="s">
        <v>151</v>
      </c>
      <c r="AQ169" s="38" t="s">
        <v>151</v>
      </c>
      <c r="AR169" s="38" t="s">
        <v>151</v>
      </c>
    </row>
    <row r="170">
      <c r="A170" s="1" t="str">
        <f>IFERROR(__xludf.DUMMYFUNCTION("""COMPUTED_VALUE"""),"The Maker")</f>
        <v>The Maker</v>
      </c>
      <c r="B170" s="38" t="s">
        <v>151</v>
      </c>
      <c r="C170" s="38" t="s">
        <v>151</v>
      </c>
      <c r="D170" s="38" t="s">
        <v>151</v>
      </c>
      <c r="E170" s="38" t="s">
        <v>151</v>
      </c>
      <c r="F170" s="38" t="s">
        <v>151</v>
      </c>
      <c r="G170" s="38" t="s">
        <v>151</v>
      </c>
      <c r="H170" s="38" t="s">
        <v>151</v>
      </c>
      <c r="I170" s="38" t="s">
        <v>151</v>
      </c>
      <c r="J170" s="38" t="s">
        <v>151</v>
      </c>
      <c r="K170" s="38" t="s">
        <v>151</v>
      </c>
      <c r="L170" s="38" t="s">
        <v>151</v>
      </c>
      <c r="M170" s="38" t="s">
        <v>151</v>
      </c>
      <c r="N170" s="38" t="s">
        <v>151</v>
      </c>
      <c r="O170" s="38" t="s">
        <v>151</v>
      </c>
      <c r="P170" s="38" t="s">
        <v>151</v>
      </c>
      <c r="Q170" s="38" t="s">
        <v>151</v>
      </c>
      <c r="R170" s="38" t="s">
        <v>151</v>
      </c>
      <c r="S170" s="38" t="s">
        <v>151</v>
      </c>
      <c r="T170" s="38" t="s">
        <v>151</v>
      </c>
      <c r="U170" s="38" t="s">
        <v>151</v>
      </c>
      <c r="V170" s="38" t="s">
        <v>151</v>
      </c>
      <c r="W170" s="45" t="s">
        <v>190</v>
      </c>
      <c r="X170" s="38" t="s">
        <v>151</v>
      </c>
      <c r="Y170" s="38" t="s">
        <v>151</v>
      </c>
      <c r="Z170" s="38" t="s">
        <v>151</v>
      </c>
      <c r="AA170" s="38" t="s">
        <v>151</v>
      </c>
      <c r="AB170" s="38" t="s">
        <v>151</v>
      </c>
      <c r="AC170" s="38" t="s">
        <v>151</v>
      </c>
      <c r="AD170" s="38" t="s">
        <v>151</v>
      </c>
      <c r="AE170" s="38" t="s">
        <v>151</v>
      </c>
      <c r="AF170" s="38" t="s">
        <v>151</v>
      </c>
      <c r="AG170" s="38" t="s">
        <v>151</v>
      </c>
      <c r="AH170" s="38" t="s">
        <v>151</v>
      </c>
      <c r="AI170" s="45" t="s">
        <v>190</v>
      </c>
      <c r="AJ170" s="38" t="s">
        <v>151</v>
      </c>
      <c r="AK170" s="38" t="s">
        <v>151</v>
      </c>
      <c r="AL170" s="38" t="s">
        <v>151</v>
      </c>
      <c r="AM170" s="38" t="s">
        <v>151</v>
      </c>
      <c r="AN170" s="38" t="s">
        <v>151</v>
      </c>
      <c r="AO170" s="38" t="s">
        <v>151</v>
      </c>
      <c r="AP170" s="38" t="s">
        <v>151</v>
      </c>
      <c r="AQ170" s="38" t="s">
        <v>151</v>
      </c>
      <c r="AR170" s="38" t="s">
        <v>151</v>
      </c>
    </row>
    <row r="171">
      <c r="A171" s="1" t="str">
        <f>IFERROR(__xludf.DUMMYFUNCTION("""COMPUTED_VALUE"""),"The Overseer")</f>
        <v>The Overseer</v>
      </c>
      <c r="B171" s="38" t="s">
        <v>151</v>
      </c>
      <c r="C171" s="38" t="s">
        <v>151</v>
      </c>
      <c r="D171" s="38" t="s">
        <v>151</v>
      </c>
      <c r="E171" s="38" t="s">
        <v>151</v>
      </c>
      <c r="F171" s="38" t="s">
        <v>151</v>
      </c>
      <c r="G171" s="38" t="s">
        <v>151</v>
      </c>
      <c r="H171" s="38" t="s">
        <v>151</v>
      </c>
      <c r="I171" s="38" t="s">
        <v>151</v>
      </c>
      <c r="J171" s="38" t="s">
        <v>151</v>
      </c>
      <c r="K171" s="38" t="s">
        <v>151</v>
      </c>
      <c r="L171" s="38" t="s">
        <v>151</v>
      </c>
      <c r="M171" s="38" t="s">
        <v>151</v>
      </c>
      <c r="N171" s="38" t="s">
        <v>151</v>
      </c>
      <c r="O171" s="38" t="s">
        <v>151</v>
      </c>
      <c r="P171" s="45" t="s">
        <v>190</v>
      </c>
      <c r="Q171" s="38" t="s">
        <v>151</v>
      </c>
      <c r="R171" s="38" t="s">
        <v>151</v>
      </c>
      <c r="S171" s="38" t="s">
        <v>151</v>
      </c>
      <c r="T171" s="38" t="s">
        <v>151</v>
      </c>
      <c r="U171" s="38" t="s">
        <v>151</v>
      </c>
      <c r="V171" s="38" t="s">
        <v>151</v>
      </c>
      <c r="W171" s="38" t="s">
        <v>151</v>
      </c>
      <c r="X171" s="45" t="s">
        <v>190</v>
      </c>
      <c r="Y171" s="38" t="s">
        <v>151</v>
      </c>
      <c r="Z171" s="45" t="s">
        <v>190</v>
      </c>
      <c r="AA171" s="38" t="s">
        <v>151</v>
      </c>
      <c r="AB171" s="45" t="s">
        <v>190</v>
      </c>
      <c r="AC171" s="38" t="s">
        <v>151</v>
      </c>
      <c r="AD171" s="38" t="s">
        <v>151</v>
      </c>
      <c r="AE171" s="38" t="s">
        <v>151</v>
      </c>
      <c r="AF171" s="38" t="s">
        <v>151</v>
      </c>
      <c r="AG171" s="38" t="s">
        <v>151</v>
      </c>
      <c r="AH171" s="38" t="s">
        <v>151</v>
      </c>
      <c r="AI171" s="45" t="s">
        <v>190</v>
      </c>
      <c r="AJ171" s="38" t="s">
        <v>151</v>
      </c>
      <c r="AK171" s="38" t="s">
        <v>151</v>
      </c>
      <c r="AL171" s="38" t="s">
        <v>151</v>
      </c>
      <c r="AM171" s="38" t="s">
        <v>151</v>
      </c>
      <c r="AN171" s="38" t="s">
        <v>151</v>
      </c>
      <c r="AO171" s="45" t="s">
        <v>190</v>
      </c>
      <c r="AP171" s="38" t="s">
        <v>151</v>
      </c>
      <c r="AQ171" s="38" t="s">
        <v>151</v>
      </c>
      <c r="AR171" s="38" t="s">
        <v>151</v>
      </c>
    </row>
    <row r="172">
      <c r="A172" s="1" t="str">
        <f>IFERROR(__xludf.DUMMYFUNCTION("""COMPUTED_VALUE"""),"The Serpent")</f>
        <v>The Serpent</v>
      </c>
      <c r="B172" s="38" t="s">
        <v>151</v>
      </c>
      <c r="C172" s="38" t="s">
        <v>151</v>
      </c>
      <c r="D172" s="38" t="s">
        <v>151</v>
      </c>
      <c r="E172" s="38" t="s">
        <v>151</v>
      </c>
      <c r="F172" s="38" t="s">
        <v>151</v>
      </c>
      <c r="G172" s="38" t="s">
        <v>151</v>
      </c>
      <c r="H172" s="45" t="s">
        <v>190</v>
      </c>
      <c r="I172" s="38" t="s">
        <v>151</v>
      </c>
      <c r="J172" s="38" t="s">
        <v>151</v>
      </c>
      <c r="K172" s="45" t="s">
        <v>190</v>
      </c>
      <c r="L172" s="38" t="s">
        <v>151</v>
      </c>
      <c r="M172" s="38" t="s">
        <v>151</v>
      </c>
      <c r="N172" s="38" t="s">
        <v>151</v>
      </c>
      <c r="O172" s="38" t="s">
        <v>151</v>
      </c>
      <c r="P172" s="45" t="s">
        <v>190</v>
      </c>
      <c r="Q172" s="38" t="s">
        <v>151</v>
      </c>
      <c r="R172" s="38" t="s">
        <v>151</v>
      </c>
      <c r="S172" s="45" t="s">
        <v>190</v>
      </c>
      <c r="T172" s="38" t="s">
        <v>151</v>
      </c>
      <c r="U172" s="38" t="s">
        <v>151</v>
      </c>
      <c r="V172" s="38" t="s">
        <v>151</v>
      </c>
      <c r="W172" s="38" t="s">
        <v>151</v>
      </c>
      <c r="X172" s="38" t="s">
        <v>151</v>
      </c>
      <c r="Y172" s="38" t="s">
        <v>151</v>
      </c>
      <c r="Z172" s="38" t="s">
        <v>151</v>
      </c>
      <c r="AA172" s="38" t="s">
        <v>151</v>
      </c>
      <c r="AB172" s="38" t="s">
        <v>151</v>
      </c>
      <c r="AC172" s="38" t="s">
        <v>151</v>
      </c>
      <c r="AD172" s="38" t="s">
        <v>151</v>
      </c>
      <c r="AE172" s="45" t="s">
        <v>190</v>
      </c>
      <c r="AF172" s="38" t="s">
        <v>151</v>
      </c>
      <c r="AG172" s="38" t="s">
        <v>151</v>
      </c>
      <c r="AH172" s="38" t="s">
        <v>151</v>
      </c>
      <c r="AI172" s="38" t="s">
        <v>151</v>
      </c>
      <c r="AJ172" s="38" t="s">
        <v>151</v>
      </c>
      <c r="AK172" s="38" t="s">
        <v>151</v>
      </c>
      <c r="AL172" s="38" t="s">
        <v>151</v>
      </c>
      <c r="AM172" s="45" t="s">
        <v>190</v>
      </c>
      <c r="AN172" s="38" t="s">
        <v>151</v>
      </c>
      <c r="AO172" s="38" t="s">
        <v>151</v>
      </c>
      <c r="AP172" s="38" t="s">
        <v>151</v>
      </c>
      <c r="AQ172" s="38" t="s">
        <v>151</v>
      </c>
      <c r="AR172" s="38" t="s">
        <v>151</v>
      </c>
    </row>
    <row r="173">
      <c r="A173" s="1" t="str">
        <f>IFERROR(__xludf.DUMMYFUNCTION("""COMPUTED_VALUE"""),"Thing")</f>
        <v>Thing</v>
      </c>
      <c r="B173" s="38" t="s">
        <v>151</v>
      </c>
      <c r="C173" s="45" t="s">
        <v>190</v>
      </c>
      <c r="D173" s="45" t="s">
        <v>190</v>
      </c>
      <c r="E173" s="38" t="s">
        <v>151</v>
      </c>
      <c r="F173" s="45" t="s">
        <v>190</v>
      </c>
      <c r="G173" s="38" t="s">
        <v>151</v>
      </c>
      <c r="H173" s="38" t="s">
        <v>151</v>
      </c>
      <c r="I173" s="38" t="s">
        <v>151</v>
      </c>
      <c r="J173" s="38" t="s">
        <v>151</v>
      </c>
      <c r="K173" s="38" t="s">
        <v>151</v>
      </c>
      <c r="L173" s="38" t="s">
        <v>151</v>
      </c>
      <c r="M173" s="38" t="s">
        <v>151</v>
      </c>
      <c r="N173" s="38" t="s">
        <v>151</v>
      </c>
      <c r="O173" s="38" t="s">
        <v>151</v>
      </c>
      <c r="P173" s="45" t="s">
        <v>190</v>
      </c>
      <c r="Q173" s="38" t="s">
        <v>151</v>
      </c>
      <c r="R173" s="38" t="s">
        <v>151</v>
      </c>
      <c r="S173" s="38" t="s">
        <v>151</v>
      </c>
      <c r="T173" s="38" t="s">
        <v>151</v>
      </c>
      <c r="U173" s="38" t="s">
        <v>151</v>
      </c>
      <c r="V173" s="38" t="s">
        <v>151</v>
      </c>
      <c r="W173" s="38" t="s">
        <v>151</v>
      </c>
      <c r="X173" s="38" t="s">
        <v>151</v>
      </c>
      <c r="Y173" s="38" t="s">
        <v>151</v>
      </c>
      <c r="Z173" s="45" t="s">
        <v>190</v>
      </c>
      <c r="AA173" s="38" t="s">
        <v>151</v>
      </c>
      <c r="AB173" s="38" t="s">
        <v>151</v>
      </c>
      <c r="AC173" s="38" t="s">
        <v>151</v>
      </c>
      <c r="AD173" s="38" t="s">
        <v>151</v>
      </c>
      <c r="AE173" s="38" t="s">
        <v>151</v>
      </c>
      <c r="AF173" s="38" t="s">
        <v>151</v>
      </c>
      <c r="AG173" s="38" t="s">
        <v>151</v>
      </c>
      <c r="AH173" s="38" t="s">
        <v>151</v>
      </c>
      <c r="AI173" s="38" t="s">
        <v>151</v>
      </c>
      <c r="AJ173" s="38" t="s">
        <v>151</v>
      </c>
      <c r="AK173" s="45" t="s">
        <v>190</v>
      </c>
      <c r="AL173" s="38" t="s">
        <v>151</v>
      </c>
      <c r="AM173" s="38" t="s">
        <v>151</v>
      </c>
      <c r="AN173" s="38" t="s">
        <v>151</v>
      </c>
      <c r="AO173" s="45" t="s">
        <v>190</v>
      </c>
      <c r="AP173" s="38" t="s">
        <v>151</v>
      </c>
      <c r="AQ173" s="38" t="s">
        <v>151</v>
      </c>
      <c r="AR173" s="38" t="s">
        <v>151</v>
      </c>
    </row>
    <row r="174">
      <c r="A174" s="1" t="str">
        <f>IFERROR(__xludf.DUMMYFUNCTION("""COMPUTED_VALUE"""),"Thor (Ragnarok)")</f>
        <v>Thor (Ragnarok)</v>
      </c>
      <c r="B174" s="38" t="s">
        <v>151</v>
      </c>
      <c r="C174" s="38" t="s">
        <v>151</v>
      </c>
      <c r="D174" s="38" t="s">
        <v>151</v>
      </c>
      <c r="E174" s="38" t="s">
        <v>151</v>
      </c>
      <c r="F174" s="38" t="s">
        <v>151</v>
      </c>
      <c r="G174" s="38" t="s">
        <v>151</v>
      </c>
      <c r="H174" s="38" t="s">
        <v>151</v>
      </c>
      <c r="I174" s="38" t="s">
        <v>151</v>
      </c>
      <c r="J174" s="38" t="s">
        <v>151</v>
      </c>
      <c r="K174" s="38" t="s">
        <v>151</v>
      </c>
      <c r="L174" s="38" t="s">
        <v>151</v>
      </c>
      <c r="M174" s="38" t="s">
        <v>151</v>
      </c>
      <c r="N174" s="38" t="s">
        <v>151</v>
      </c>
      <c r="O174" s="38" t="s">
        <v>151</v>
      </c>
      <c r="P174" s="38" t="s">
        <v>151</v>
      </c>
      <c r="Q174" s="38" t="s">
        <v>151</v>
      </c>
      <c r="R174" s="38" t="s">
        <v>151</v>
      </c>
      <c r="S174" s="38" t="s">
        <v>151</v>
      </c>
      <c r="T174" s="38" t="s">
        <v>151</v>
      </c>
      <c r="U174" s="38" t="s">
        <v>151</v>
      </c>
      <c r="V174" s="38" t="s">
        <v>151</v>
      </c>
      <c r="W174" s="38" t="s">
        <v>151</v>
      </c>
      <c r="X174" s="38" t="s">
        <v>151</v>
      </c>
      <c r="Y174" s="38" t="s">
        <v>151</v>
      </c>
      <c r="Z174" s="38" t="s">
        <v>151</v>
      </c>
      <c r="AA174" s="38" t="s">
        <v>151</v>
      </c>
      <c r="AB174" s="38" t="s">
        <v>151</v>
      </c>
      <c r="AC174" s="38" t="s">
        <v>151</v>
      </c>
      <c r="AD174" s="38" t="s">
        <v>151</v>
      </c>
      <c r="AE174" s="38" t="s">
        <v>151</v>
      </c>
      <c r="AF174" s="38" t="s">
        <v>151</v>
      </c>
      <c r="AG174" s="38" t="s">
        <v>151</v>
      </c>
      <c r="AH174" s="38" t="s">
        <v>151</v>
      </c>
      <c r="AI174" s="38" t="s">
        <v>151</v>
      </c>
      <c r="AJ174" s="38" t="s">
        <v>151</v>
      </c>
      <c r="AK174" s="45" t="s">
        <v>190</v>
      </c>
      <c r="AL174" s="38" t="s">
        <v>151</v>
      </c>
      <c r="AM174" s="38" t="s">
        <v>151</v>
      </c>
      <c r="AN174" s="38" t="s">
        <v>151</v>
      </c>
      <c r="AO174" s="38" t="s">
        <v>151</v>
      </c>
      <c r="AP174" s="38" t="s">
        <v>151</v>
      </c>
      <c r="AQ174" s="38" t="s">
        <v>151</v>
      </c>
      <c r="AR174" s="45" t="s">
        <v>190</v>
      </c>
    </row>
    <row r="175">
      <c r="A175" s="1" t="str">
        <f>IFERROR(__xludf.DUMMYFUNCTION("""COMPUTED_VALUE"""),"Titania")</f>
        <v>Titania</v>
      </c>
      <c r="B175" s="38" t="s">
        <v>151</v>
      </c>
      <c r="C175" s="38" t="s">
        <v>151</v>
      </c>
      <c r="D175" s="38" t="s">
        <v>151</v>
      </c>
      <c r="E175" s="38" t="s">
        <v>151</v>
      </c>
      <c r="F175" s="45" t="s">
        <v>190</v>
      </c>
      <c r="G175" s="45" t="s">
        <v>190</v>
      </c>
      <c r="H175" s="38" t="s">
        <v>151</v>
      </c>
      <c r="I175" s="38" t="s">
        <v>151</v>
      </c>
      <c r="J175" s="38" t="s">
        <v>151</v>
      </c>
      <c r="K175" s="38" t="s">
        <v>151</v>
      </c>
      <c r="L175" s="38" t="s">
        <v>151</v>
      </c>
      <c r="M175" s="38" t="s">
        <v>151</v>
      </c>
      <c r="N175" s="38" t="s">
        <v>151</v>
      </c>
      <c r="O175" s="38" t="s">
        <v>151</v>
      </c>
      <c r="P175" s="38" t="s">
        <v>151</v>
      </c>
      <c r="Q175" s="38" t="s">
        <v>151</v>
      </c>
      <c r="R175" s="38" t="s">
        <v>151</v>
      </c>
      <c r="S175" s="38" t="s">
        <v>151</v>
      </c>
      <c r="T175" s="38" t="s">
        <v>151</v>
      </c>
      <c r="U175" s="38" t="s">
        <v>151</v>
      </c>
      <c r="V175" s="38" t="s">
        <v>151</v>
      </c>
      <c r="W175" s="38" t="s">
        <v>151</v>
      </c>
      <c r="X175" s="38" t="s">
        <v>151</v>
      </c>
      <c r="Y175" s="38" t="s">
        <v>151</v>
      </c>
      <c r="Z175" s="38" t="s">
        <v>151</v>
      </c>
      <c r="AA175" s="38" t="s">
        <v>151</v>
      </c>
      <c r="AB175" s="38" t="s">
        <v>151</v>
      </c>
      <c r="AC175" s="38" t="s">
        <v>151</v>
      </c>
      <c r="AD175" s="38" t="s">
        <v>151</v>
      </c>
      <c r="AE175" s="38" t="s">
        <v>151</v>
      </c>
      <c r="AF175" s="38" t="s">
        <v>151</v>
      </c>
      <c r="AG175" s="38" t="s">
        <v>151</v>
      </c>
      <c r="AH175" s="38" t="s">
        <v>151</v>
      </c>
      <c r="AI175" s="38" t="s">
        <v>151</v>
      </c>
      <c r="AJ175" s="38" t="s">
        <v>151</v>
      </c>
      <c r="AK175" s="38" t="s">
        <v>151</v>
      </c>
      <c r="AL175" s="38" t="s">
        <v>151</v>
      </c>
      <c r="AM175" s="38" t="s">
        <v>151</v>
      </c>
      <c r="AN175" s="38" t="s">
        <v>151</v>
      </c>
      <c r="AO175" s="38" t="s">
        <v>151</v>
      </c>
      <c r="AP175" s="38" t="s">
        <v>151</v>
      </c>
      <c r="AQ175" s="38" t="s">
        <v>151</v>
      </c>
      <c r="AR175" s="38" t="s">
        <v>151</v>
      </c>
    </row>
    <row r="176">
      <c r="A176" s="1" t="str">
        <f>IFERROR(__xludf.DUMMYFUNCTION("""COMPUTED_VALUE"""),"Toad")</f>
        <v>Toad</v>
      </c>
      <c r="B176" s="38" t="s">
        <v>151</v>
      </c>
      <c r="C176" s="38" t="s">
        <v>151</v>
      </c>
      <c r="D176" s="38" t="s">
        <v>151</v>
      </c>
      <c r="E176" s="38" t="s">
        <v>151</v>
      </c>
      <c r="F176" s="38" t="s">
        <v>151</v>
      </c>
      <c r="G176" s="38" t="s">
        <v>151</v>
      </c>
      <c r="H176" s="38" t="s">
        <v>151</v>
      </c>
      <c r="I176" s="38" t="s">
        <v>151</v>
      </c>
      <c r="J176" s="38" t="s">
        <v>151</v>
      </c>
      <c r="K176" s="38" t="s">
        <v>151</v>
      </c>
      <c r="L176" s="38" t="s">
        <v>151</v>
      </c>
      <c r="M176" s="38" t="s">
        <v>151</v>
      </c>
      <c r="N176" s="38" t="s">
        <v>151</v>
      </c>
      <c r="O176" s="38" t="s">
        <v>151</v>
      </c>
      <c r="P176" s="38" t="s">
        <v>151</v>
      </c>
      <c r="Q176" s="38" t="s">
        <v>151</v>
      </c>
      <c r="R176" s="38" t="s">
        <v>151</v>
      </c>
      <c r="S176" s="38" t="s">
        <v>151</v>
      </c>
      <c r="T176" s="38" t="s">
        <v>151</v>
      </c>
      <c r="U176" s="38" t="s">
        <v>151</v>
      </c>
      <c r="V176" s="38" t="s">
        <v>151</v>
      </c>
      <c r="W176" s="38" t="s">
        <v>151</v>
      </c>
      <c r="X176" s="38" t="s">
        <v>151</v>
      </c>
      <c r="Y176" s="38" t="s">
        <v>151</v>
      </c>
      <c r="Z176" s="38" t="s">
        <v>151</v>
      </c>
      <c r="AA176" s="38" t="s">
        <v>151</v>
      </c>
      <c r="AB176" s="45" t="s">
        <v>190</v>
      </c>
      <c r="AC176" s="38" t="s">
        <v>151</v>
      </c>
      <c r="AD176" s="38" t="s">
        <v>151</v>
      </c>
      <c r="AE176" s="38" t="s">
        <v>151</v>
      </c>
      <c r="AF176" s="38" t="s">
        <v>151</v>
      </c>
      <c r="AG176" s="38" t="s">
        <v>151</v>
      </c>
      <c r="AH176" s="38" t="s">
        <v>151</v>
      </c>
      <c r="AI176" s="38" t="s">
        <v>151</v>
      </c>
      <c r="AJ176" s="38" t="s">
        <v>151</v>
      </c>
      <c r="AK176" s="38" t="s">
        <v>151</v>
      </c>
      <c r="AL176" s="38" t="s">
        <v>151</v>
      </c>
      <c r="AM176" s="38" t="s">
        <v>151</v>
      </c>
      <c r="AN176" s="38" t="s">
        <v>151</v>
      </c>
      <c r="AO176" s="38" t="s">
        <v>151</v>
      </c>
      <c r="AP176" s="38" t="s">
        <v>151</v>
      </c>
      <c r="AQ176" s="38" t="s">
        <v>151</v>
      </c>
      <c r="AR176" s="38" t="s">
        <v>151</v>
      </c>
    </row>
    <row r="177">
      <c r="A177" s="1" t="str">
        <f>IFERROR(__xludf.DUMMYFUNCTION("""COMPUTED_VALUE"""),"Ultron")</f>
        <v>Ultron</v>
      </c>
      <c r="B177" s="38" t="s">
        <v>151</v>
      </c>
      <c r="C177" s="38" t="s">
        <v>151</v>
      </c>
      <c r="D177" s="38" t="s">
        <v>151</v>
      </c>
      <c r="E177" s="38" t="s">
        <v>151</v>
      </c>
      <c r="F177" s="45" t="s">
        <v>190</v>
      </c>
      <c r="G177" s="38" t="s">
        <v>151</v>
      </c>
      <c r="H177" s="38" t="s">
        <v>151</v>
      </c>
      <c r="I177" s="38" t="s">
        <v>151</v>
      </c>
      <c r="J177" s="38" t="s">
        <v>151</v>
      </c>
      <c r="K177" s="38" t="s">
        <v>151</v>
      </c>
      <c r="L177" s="38" t="s">
        <v>151</v>
      </c>
      <c r="M177" s="38" t="s">
        <v>151</v>
      </c>
      <c r="N177" s="38" t="s">
        <v>151</v>
      </c>
      <c r="O177" s="38" t="s">
        <v>151</v>
      </c>
      <c r="P177" s="38" t="s">
        <v>151</v>
      </c>
      <c r="Q177" s="38" t="s">
        <v>151</v>
      </c>
      <c r="R177" s="38" t="s">
        <v>151</v>
      </c>
      <c r="S177" s="38" t="s">
        <v>151</v>
      </c>
      <c r="T177" s="38" t="s">
        <v>151</v>
      </c>
      <c r="U177" s="38" t="s">
        <v>151</v>
      </c>
      <c r="V177" s="38" t="s">
        <v>151</v>
      </c>
      <c r="W177" s="38" t="s">
        <v>151</v>
      </c>
      <c r="X177" s="38" t="s">
        <v>151</v>
      </c>
      <c r="Y177" s="38" t="s">
        <v>151</v>
      </c>
      <c r="Z177" s="38" t="s">
        <v>151</v>
      </c>
      <c r="AA177" s="38" t="s">
        <v>151</v>
      </c>
      <c r="AB177" s="45" t="s">
        <v>190</v>
      </c>
      <c r="AC177" s="38" t="s">
        <v>151</v>
      </c>
      <c r="AD177" s="38" t="s">
        <v>151</v>
      </c>
      <c r="AE177" s="38" t="s">
        <v>151</v>
      </c>
      <c r="AF177" s="38" t="s">
        <v>151</v>
      </c>
      <c r="AG177" s="38" t="s">
        <v>151</v>
      </c>
      <c r="AH177" s="38" t="s">
        <v>151</v>
      </c>
      <c r="AI177" s="38" t="s">
        <v>151</v>
      </c>
      <c r="AJ177" s="38" t="s">
        <v>151</v>
      </c>
      <c r="AK177" s="38" t="s">
        <v>151</v>
      </c>
      <c r="AL177" s="45" t="s">
        <v>190</v>
      </c>
      <c r="AM177" s="38" t="s">
        <v>151</v>
      </c>
      <c r="AN177" s="38" t="s">
        <v>151</v>
      </c>
      <c r="AO177" s="38" t="s">
        <v>151</v>
      </c>
      <c r="AP177" s="38" t="s">
        <v>151</v>
      </c>
      <c r="AQ177" s="38" t="s">
        <v>151</v>
      </c>
      <c r="AR177" s="38" t="s">
        <v>151</v>
      </c>
    </row>
    <row r="178">
      <c r="A178" s="1" t="str">
        <f>IFERROR(__xludf.DUMMYFUNCTION("""COMPUTED_VALUE"""),"Ultron (Classic)")</f>
        <v>Ultron (Classic)</v>
      </c>
      <c r="B178" s="38" t="s">
        <v>151</v>
      </c>
      <c r="C178" s="38" t="s">
        <v>151</v>
      </c>
      <c r="D178" s="38" t="s">
        <v>151</v>
      </c>
      <c r="E178" s="38" t="s">
        <v>151</v>
      </c>
      <c r="F178" s="45" t="s">
        <v>190</v>
      </c>
      <c r="G178" s="38" t="s">
        <v>151</v>
      </c>
      <c r="H178" s="38" t="s">
        <v>151</v>
      </c>
      <c r="I178" s="38" t="s">
        <v>151</v>
      </c>
      <c r="J178" s="38" t="s">
        <v>151</v>
      </c>
      <c r="K178" s="38" t="s">
        <v>151</v>
      </c>
      <c r="L178" s="38" t="s">
        <v>151</v>
      </c>
      <c r="M178" s="38" t="s">
        <v>151</v>
      </c>
      <c r="N178" s="38" t="s">
        <v>151</v>
      </c>
      <c r="O178" s="38" t="s">
        <v>151</v>
      </c>
      <c r="P178" s="38" t="s">
        <v>151</v>
      </c>
      <c r="Q178" s="38" t="s">
        <v>151</v>
      </c>
      <c r="R178" s="38" t="s">
        <v>151</v>
      </c>
      <c r="S178" s="38" t="s">
        <v>151</v>
      </c>
      <c r="T178" s="38" t="s">
        <v>151</v>
      </c>
      <c r="U178" s="38" t="s">
        <v>151</v>
      </c>
      <c r="V178" s="38" t="s">
        <v>151</v>
      </c>
      <c r="W178" s="38" t="s">
        <v>151</v>
      </c>
      <c r="X178" s="38" t="s">
        <v>151</v>
      </c>
      <c r="Y178" s="38" t="s">
        <v>151</v>
      </c>
      <c r="Z178" s="38" t="s">
        <v>151</v>
      </c>
      <c r="AA178" s="38" t="s">
        <v>151</v>
      </c>
      <c r="AB178" s="45" t="s">
        <v>190</v>
      </c>
      <c r="AC178" s="38" t="s">
        <v>151</v>
      </c>
      <c r="AD178" s="38" t="s">
        <v>151</v>
      </c>
      <c r="AE178" s="38" t="s">
        <v>151</v>
      </c>
      <c r="AF178" s="38" t="s">
        <v>151</v>
      </c>
      <c r="AG178" s="38" t="s">
        <v>151</v>
      </c>
      <c r="AH178" s="38" t="s">
        <v>151</v>
      </c>
      <c r="AI178" s="38" t="s">
        <v>151</v>
      </c>
      <c r="AJ178" s="38" t="s">
        <v>151</v>
      </c>
      <c r="AK178" s="38" t="s">
        <v>151</v>
      </c>
      <c r="AL178" s="38" t="s">
        <v>151</v>
      </c>
      <c r="AM178" s="38" t="s">
        <v>151</v>
      </c>
      <c r="AN178" s="38" t="s">
        <v>151</v>
      </c>
      <c r="AO178" s="38" t="s">
        <v>151</v>
      </c>
      <c r="AP178" s="38" t="s">
        <v>151</v>
      </c>
      <c r="AQ178" s="38" t="s">
        <v>151</v>
      </c>
      <c r="AR178" s="38" t="s">
        <v>151</v>
      </c>
    </row>
    <row r="179">
      <c r="A179" s="1" t="str">
        <f>IFERROR(__xludf.DUMMYFUNCTION("""COMPUTED_VALUE"""),"Unstoppable Colossus")</f>
        <v>Unstoppable Colossus</v>
      </c>
      <c r="B179" s="38" t="s">
        <v>151</v>
      </c>
      <c r="C179" s="38" t="s">
        <v>151</v>
      </c>
      <c r="D179" s="38" t="s">
        <v>151</v>
      </c>
      <c r="E179" s="38" t="s">
        <v>151</v>
      </c>
      <c r="F179" s="45" t="s">
        <v>190</v>
      </c>
      <c r="G179" s="38" t="s">
        <v>151</v>
      </c>
      <c r="H179" s="38" t="s">
        <v>151</v>
      </c>
      <c r="I179" s="38" t="s">
        <v>151</v>
      </c>
      <c r="J179" s="38" t="s">
        <v>151</v>
      </c>
      <c r="K179" s="38" t="s">
        <v>151</v>
      </c>
      <c r="L179" s="38" t="s">
        <v>151</v>
      </c>
      <c r="M179" s="38" t="s">
        <v>151</v>
      </c>
      <c r="N179" s="38" t="s">
        <v>151</v>
      </c>
      <c r="O179" s="38" t="s">
        <v>151</v>
      </c>
      <c r="P179" s="38" t="s">
        <v>151</v>
      </c>
      <c r="Q179" s="38" t="s">
        <v>151</v>
      </c>
      <c r="R179" s="38" t="s">
        <v>151</v>
      </c>
      <c r="S179" s="38" t="s">
        <v>151</v>
      </c>
      <c r="T179" s="38" t="s">
        <v>151</v>
      </c>
      <c r="U179" s="38" t="s">
        <v>151</v>
      </c>
      <c r="V179" s="38" t="s">
        <v>151</v>
      </c>
      <c r="W179" s="38" t="s">
        <v>151</v>
      </c>
      <c r="X179" s="38" t="s">
        <v>151</v>
      </c>
      <c r="Y179" s="38" t="s">
        <v>151</v>
      </c>
      <c r="Z179" s="38" t="s">
        <v>151</v>
      </c>
      <c r="AA179" s="38" t="s">
        <v>151</v>
      </c>
      <c r="AB179" s="38" t="s">
        <v>151</v>
      </c>
      <c r="AC179" s="38" t="s">
        <v>151</v>
      </c>
      <c r="AD179" s="38" t="s">
        <v>151</v>
      </c>
      <c r="AE179" s="38" t="s">
        <v>151</v>
      </c>
      <c r="AF179" s="38" t="s">
        <v>151</v>
      </c>
      <c r="AG179" s="38" t="s">
        <v>151</v>
      </c>
      <c r="AH179" s="38" t="s">
        <v>151</v>
      </c>
      <c r="AI179" s="38" t="s">
        <v>151</v>
      </c>
      <c r="AJ179" s="38" t="s">
        <v>151</v>
      </c>
      <c r="AK179" s="38" t="s">
        <v>151</v>
      </c>
      <c r="AL179" s="38" t="s">
        <v>151</v>
      </c>
      <c r="AM179" s="38" t="s">
        <v>151</v>
      </c>
      <c r="AN179" s="38" t="s">
        <v>151</v>
      </c>
      <c r="AO179" s="38" t="s">
        <v>151</v>
      </c>
      <c r="AP179" s="38" t="s">
        <v>151</v>
      </c>
      <c r="AQ179" s="38" t="s">
        <v>151</v>
      </c>
      <c r="AR179" s="38" t="s">
        <v>151</v>
      </c>
    </row>
    <row r="180">
      <c r="A180" s="1" t="str">
        <f>IFERROR(__xludf.DUMMYFUNCTION("""COMPUTED_VALUE"""),"Venompool")</f>
        <v>Venompool</v>
      </c>
      <c r="B180" s="38" t="s">
        <v>151</v>
      </c>
      <c r="C180" s="38" t="s">
        <v>151</v>
      </c>
      <c r="D180" s="38" t="s">
        <v>151</v>
      </c>
      <c r="E180" s="38" t="s">
        <v>151</v>
      </c>
      <c r="F180" s="38" t="s">
        <v>151</v>
      </c>
      <c r="G180" s="38" t="s">
        <v>151</v>
      </c>
      <c r="H180" s="38" t="s">
        <v>151</v>
      </c>
      <c r="I180" s="38" t="s">
        <v>151</v>
      </c>
      <c r="J180" s="38" t="s">
        <v>151</v>
      </c>
      <c r="K180" s="38" t="s">
        <v>151</v>
      </c>
      <c r="L180" s="38" t="s">
        <v>151</v>
      </c>
      <c r="M180" s="38" t="s">
        <v>151</v>
      </c>
      <c r="N180" s="38" t="s">
        <v>151</v>
      </c>
      <c r="O180" s="38" t="s">
        <v>151</v>
      </c>
      <c r="P180" s="38" t="s">
        <v>151</v>
      </c>
      <c r="Q180" s="38" t="s">
        <v>151</v>
      </c>
      <c r="R180" s="38" t="s">
        <v>151</v>
      </c>
      <c r="S180" s="38" t="s">
        <v>151</v>
      </c>
      <c r="T180" s="45" t="s">
        <v>190</v>
      </c>
      <c r="U180" s="38" t="s">
        <v>151</v>
      </c>
      <c r="V180" s="38" t="s">
        <v>151</v>
      </c>
      <c r="W180" s="38" t="s">
        <v>151</v>
      </c>
      <c r="X180" s="38" t="s">
        <v>151</v>
      </c>
      <c r="Y180" s="38" t="s">
        <v>151</v>
      </c>
      <c r="Z180" s="38" t="s">
        <v>151</v>
      </c>
      <c r="AA180" s="38" t="s">
        <v>151</v>
      </c>
      <c r="AB180" s="38" t="s">
        <v>151</v>
      </c>
      <c r="AC180" s="38" t="s">
        <v>151</v>
      </c>
      <c r="AD180" s="38" t="s">
        <v>151</v>
      </c>
      <c r="AE180" s="38" t="s">
        <v>151</v>
      </c>
      <c r="AF180" s="38" t="s">
        <v>151</v>
      </c>
      <c r="AG180" s="38" t="s">
        <v>151</v>
      </c>
      <c r="AH180" s="38" t="s">
        <v>151</v>
      </c>
      <c r="AI180" s="38" t="s">
        <v>151</v>
      </c>
      <c r="AJ180" s="38" t="s">
        <v>151</v>
      </c>
      <c r="AK180" s="38" t="s">
        <v>151</v>
      </c>
      <c r="AL180" s="38" t="s">
        <v>151</v>
      </c>
      <c r="AM180" s="45" t="s">
        <v>190</v>
      </c>
      <c r="AN180" s="38" t="s">
        <v>151</v>
      </c>
      <c r="AO180" s="38" t="s">
        <v>151</v>
      </c>
      <c r="AP180" s="38" t="s">
        <v>151</v>
      </c>
      <c r="AQ180" s="38" t="s">
        <v>151</v>
      </c>
      <c r="AR180" s="38" t="s">
        <v>151</v>
      </c>
    </row>
    <row r="181">
      <c r="A181" s="1" t="str">
        <f>IFERROR(__xludf.DUMMYFUNCTION("""COMPUTED_VALUE"""),"Vision")</f>
        <v>Vision</v>
      </c>
      <c r="B181" s="38" t="s">
        <v>151</v>
      </c>
      <c r="C181" s="38" t="s">
        <v>151</v>
      </c>
      <c r="D181" s="38" t="s">
        <v>151</v>
      </c>
      <c r="E181" s="38" t="s">
        <v>151</v>
      </c>
      <c r="F181" s="45" t="s">
        <v>190</v>
      </c>
      <c r="G181" s="38" t="s">
        <v>151</v>
      </c>
      <c r="H181" s="38" t="s">
        <v>151</v>
      </c>
      <c r="I181" s="38" t="s">
        <v>151</v>
      </c>
      <c r="J181" s="38" t="s">
        <v>151</v>
      </c>
      <c r="K181" s="38" t="s">
        <v>151</v>
      </c>
      <c r="L181" s="38" t="s">
        <v>151</v>
      </c>
      <c r="M181" s="38" t="s">
        <v>151</v>
      </c>
      <c r="N181" s="38" t="s">
        <v>151</v>
      </c>
      <c r="O181" s="38" t="s">
        <v>151</v>
      </c>
      <c r="P181" s="38" t="s">
        <v>151</v>
      </c>
      <c r="Q181" s="38" t="s">
        <v>151</v>
      </c>
      <c r="R181" s="38" t="s">
        <v>151</v>
      </c>
      <c r="S181" s="38" t="s">
        <v>151</v>
      </c>
      <c r="T181" s="38" t="s">
        <v>151</v>
      </c>
      <c r="U181" s="38" t="s">
        <v>151</v>
      </c>
      <c r="V181" s="38" t="s">
        <v>151</v>
      </c>
      <c r="W181" s="38" t="s">
        <v>151</v>
      </c>
      <c r="X181" s="38" t="s">
        <v>151</v>
      </c>
      <c r="Y181" s="38" t="s">
        <v>151</v>
      </c>
      <c r="Z181" s="38" t="s">
        <v>151</v>
      </c>
      <c r="AA181" s="38" t="s">
        <v>151</v>
      </c>
      <c r="AB181" s="45" t="s">
        <v>190</v>
      </c>
      <c r="AC181" s="38" t="s">
        <v>151</v>
      </c>
      <c r="AD181" s="38" t="s">
        <v>151</v>
      </c>
      <c r="AE181" s="38" t="s">
        <v>151</v>
      </c>
      <c r="AF181" s="38" t="s">
        <v>151</v>
      </c>
      <c r="AG181" s="38" t="s">
        <v>151</v>
      </c>
      <c r="AH181" s="38" t="s">
        <v>151</v>
      </c>
      <c r="AI181" s="38" t="s">
        <v>151</v>
      </c>
      <c r="AJ181" s="38" t="s">
        <v>151</v>
      </c>
      <c r="AK181" s="38" t="s">
        <v>151</v>
      </c>
      <c r="AL181" s="38" t="s">
        <v>151</v>
      </c>
      <c r="AM181" s="38" t="s">
        <v>151</v>
      </c>
      <c r="AN181" s="38" t="s">
        <v>151</v>
      </c>
      <c r="AO181" s="38" t="s">
        <v>151</v>
      </c>
      <c r="AP181" s="38" t="s">
        <v>151</v>
      </c>
      <c r="AQ181" s="38" t="s">
        <v>151</v>
      </c>
      <c r="AR181" s="38" t="s">
        <v>151</v>
      </c>
    </row>
    <row r="182">
      <c r="A182" s="1" t="str">
        <f>IFERROR(__xludf.DUMMYFUNCTION("""COMPUTED_VALUE"""),"Vision (Age of Ultron)")</f>
        <v>Vision (Age of Ultron)</v>
      </c>
      <c r="B182" s="38" t="s">
        <v>151</v>
      </c>
      <c r="C182" s="38" t="s">
        <v>151</v>
      </c>
      <c r="D182" s="38" t="s">
        <v>151</v>
      </c>
      <c r="E182" s="38" t="s">
        <v>151</v>
      </c>
      <c r="F182" s="45" t="s">
        <v>190</v>
      </c>
      <c r="G182" s="38" t="s">
        <v>151</v>
      </c>
      <c r="H182" s="38" t="s">
        <v>151</v>
      </c>
      <c r="I182" s="38" t="s">
        <v>151</v>
      </c>
      <c r="J182" s="38" t="s">
        <v>151</v>
      </c>
      <c r="K182" s="38" t="s">
        <v>151</v>
      </c>
      <c r="L182" s="38" t="s">
        <v>151</v>
      </c>
      <c r="M182" s="38" t="s">
        <v>151</v>
      </c>
      <c r="N182" s="38" t="s">
        <v>151</v>
      </c>
      <c r="O182" s="38" t="s">
        <v>151</v>
      </c>
      <c r="P182" s="38" t="s">
        <v>151</v>
      </c>
      <c r="Q182" s="38" t="s">
        <v>151</v>
      </c>
      <c r="R182" s="38" t="s">
        <v>151</v>
      </c>
      <c r="S182" s="38" t="s">
        <v>151</v>
      </c>
      <c r="T182" s="38" t="s">
        <v>151</v>
      </c>
      <c r="U182" s="38" t="s">
        <v>151</v>
      </c>
      <c r="V182" s="38" t="s">
        <v>151</v>
      </c>
      <c r="W182" s="38" t="s">
        <v>151</v>
      </c>
      <c r="X182" s="38" t="s">
        <v>151</v>
      </c>
      <c r="Y182" s="38" t="s">
        <v>151</v>
      </c>
      <c r="Z182" s="38" t="s">
        <v>151</v>
      </c>
      <c r="AA182" s="38" t="s">
        <v>151</v>
      </c>
      <c r="AB182" s="45" t="s">
        <v>190</v>
      </c>
      <c r="AC182" s="38" t="s">
        <v>151</v>
      </c>
      <c r="AD182" s="38" t="s">
        <v>151</v>
      </c>
      <c r="AE182" s="38" t="s">
        <v>151</v>
      </c>
      <c r="AF182" s="38" t="s">
        <v>151</v>
      </c>
      <c r="AG182" s="38" t="s">
        <v>151</v>
      </c>
      <c r="AH182" s="38" t="s">
        <v>151</v>
      </c>
      <c r="AI182" s="38" t="s">
        <v>151</v>
      </c>
      <c r="AJ182" s="38" t="s">
        <v>151</v>
      </c>
      <c r="AK182" s="38" t="s">
        <v>151</v>
      </c>
      <c r="AL182" s="38" t="s">
        <v>151</v>
      </c>
      <c r="AM182" s="38" t="s">
        <v>151</v>
      </c>
      <c r="AN182" s="38" t="s">
        <v>151</v>
      </c>
      <c r="AO182" s="38" t="s">
        <v>151</v>
      </c>
      <c r="AP182" s="38" t="s">
        <v>151</v>
      </c>
      <c r="AQ182" s="38" t="s">
        <v>151</v>
      </c>
      <c r="AR182" s="38" t="s">
        <v>151</v>
      </c>
    </row>
    <row r="183">
      <c r="A183" s="1" t="str">
        <f>IFERROR(__xludf.DUMMYFUNCTION("""COMPUTED_VALUE"""),"Vision (Deathless)")</f>
        <v>Vision (Deathless)</v>
      </c>
      <c r="B183" s="38" t="s">
        <v>151</v>
      </c>
      <c r="C183" s="38" t="s">
        <v>151</v>
      </c>
      <c r="D183" s="38" t="s">
        <v>151</v>
      </c>
      <c r="E183" s="38" t="s">
        <v>151</v>
      </c>
      <c r="F183" s="45" t="s">
        <v>190</v>
      </c>
      <c r="G183" s="38" t="s">
        <v>151</v>
      </c>
      <c r="H183" s="45" t="s">
        <v>190</v>
      </c>
      <c r="I183" s="38" t="s">
        <v>151</v>
      </c>
      <c r="J183" s="38" t="s">
        <v>151</v>
      </c>
      <c r="K183" s="38" t="s">
        <v>151</v>
      </c>
      <c r="L183" s="38" t="s">
        <v>151</v>
      </c>
      <c r="M183" s="38" t="s">
        <v>151</v>
      </c>
      <c r="N183" s="38" t="s">
        <v>151</v>
      </c>
      <c r="O183" s="38" t="s">
        <v>151</v>
      </c>
      <c r="P183" s="38" t="s">
        <v>151</v>
      </c>
      <c r="Q183" s="38" t="s">
        <v>151</v>
      </c>
      <c r="R183" s="45" t="s">
        <v>190</v>
      </c>
      <c r="S183" s="38" t="s">
        <v>151</v>
      </c>
      <c r="T183" s="38" t="s">
        <v>151</v>
      </c>
      <c r="U183" s="38" t="s">
        <v>151</v>
      </c>
      <c r="V183" s="38" t="s">
        <v>151</v>
      </c>
      <c r="W183" s="38" t="s">
        <v>151</v>
      </c>
      <c r="X183" s="38" t="s">
        <v>151</v>
      </c>
      <c r="Y183" s="38" t="s">
        <v>151</v>
      </c>
      <c r="Z183" s="38" t="s">
        <v>151</v>
      </c>
      <c r="AA183" s="38" t="s">
        <v>151</v>
      </c>
      <c r="AB183" s="45" t="s">
        <v>190</v>
      </c>
      <c r="AC183" s="45" t="s">
        <v>190</v>
      </c>
      <c r="AD183" s="45" t="s">
        <v>190</v>
      </c>
      <c r="AE183" s="38" t="s">
        <v>151</v>
      </c>
      <c r="AF183" s="38" t="s">
        <v>151</v>
      </c>
      <c r="AG183" s="38" t="s">
        <v>151</v>
      </c>
      <c r="AH183" s="38" t="s">
        <v>151</v>
      </c>
      <c r="AI183" s="45" t="s">
        <v>190</v>
      </c>
      <c r="AJ183" s="38" t="s">
        <v>151</v>
      </c>
      <c r="AK183" s="38" t="s">
        <v>151</v>
      </c>
      <c r="AL183" s="38" t="s">
        <v>151</v>
      </c>
      <c r="AM183" s="38" t="s">
        <v>151</v>
      </c>
      <c r="AN183" s="38" t="s">
        <v>151</v>
      </c>
      <c r="AO183" s="38" t="s">
        <v>151</v>
      </c>
      <c r="AP183" s="38" t="s">
        <v>151</v>
      </c>
      <c r="AQ183" s="38" t="s">
        <v>151</v>
      </c>
      <c r="AR183" s="38" t="s">
        <v>151</v>
      </c>
    </row>
    <row r="184">
      <c r="A184" s="1" t="str">
        <f>IFERROR(__xludf.DUMMYFUNCTION("""COMPUTED_VALUE"""),"Viv Vision")</f>
        <v>Viv Vision</v>
      </c>
      <c r="B184" s="38" t="s">
        <v>151</v>
      </c>
      <c r="C184" s="38" t="s">
        <v>151</v>
      </c>
      <c r="D184" s="38" t="s">
        <v>151</v>
      </c>
      <c r="E184" s="38" t="s">
        <v>151</v>
      </c>
      <c r="F184" s="45" t="s">
        <v>190</v>
      </c>
      <c r="G184" s="38" t="s">
        <v>151</v>
      </c>
      <c r="H184" s="38" t="s">
        <v>151</v>
      </c>
      <c r="I184" s="38" t="s">
        <v>151</v>
      </c>
      <c r="J184" s="38" t="s">
        <v>151</v>
      </c>
      <c r="K184" s="38" t="s">
        <v>151</v>
      </c>
      <c r="L184" s="38" t="s">
        <v>151</v>
      </c>
      <c r="M184" s="38" t="s">
        <v>151</v>
      </c>
      <c r="N184" s="38" t="s">
        <v>151</v>
      </c>
      <c r="O184" s="38" t="s">
        <v>151</v>
      </c>
      <c r="P184" s="45" t="s">
        <v>190</v>
      </c>
      <c r="Q184" s="38" t="s">
        <v>151</v>
      </c>
      <c r="R184" s="38" t="s">
        <v>151</v>
      </c>
      <c r="S184" s="38" t="s">
        <v>151</v>
      </c>
      <c r="T184" s="38" t="s">
        <v>151</v>
      </c>
      <c r="U184" s="38" t="s">
        <v>151</v>
      </c>
      <c r="V184" s="38" t="s">
        <v>151</v>
      </c>
      <c r="W184" s="38" t="s">
        <v>151</v>
      </c>
      <c r="X184" s="38" t="s">
        <v>151</v>
      </c>
      <c r="Y184" s="38" t="s">
        <v>151</v>
      </c>
      <c r="Z184" s="45" t="s">
        <v>190</v>
      </c>
      <c r="AA184" s="38" t="s">
        <v>151</v>
      </c>
      <c r="AB184" s="45" t="s">
        <v>190</v>
      </c>
      <c r="AC184" s="38" t="s">
        <v>151</v>
      </c>
      <c r="AD184" s="38" t="s">
        <v>151</v>
      </c>
      <c r="AE184" s="38" t="s">
        <v>151</v>
      </c>
      <c r="AF184" s="38" t="s">
        <v>151</v>
      </c>
      <c r="AG184" s="38" t="s">
        <v>151</v>
      </c>
      <c r="AH184" s="38" t="s">
        <v>151</v>
      </c>
      <c r="AI184" s="45" t="s">
        <v>190</v>
      </c>
      <c r="AJ184" s="38" t="s">
        <v>151</v>
      </c>
      <c r="AK184" s="38" t="s">
        <v>151</v>
      </c>
      <c r="AL184" s="38" t="s">
        <v>151</v>
      </c>
      <c r="AM184" s="38" t="s">
        <v>151</v>
      </c>
      <c r="AN184" s="38" t="s">
        <v>151</v>
      </c>
      <c r="AO184" s="38" t="s">
        <v>151</v>
      </c>
      <c r="AP184" s="45" t="s">
        <v>190</v>
      </c>
      <c r="AQ184" s="38" t="s">
        <v>151</v>
      </c>
      <c r="AR184" s="38" t="s">
        <v>151</v>
      </c>
    </row>
    <row r="185">
      <c r="A185" s="1" t="str">
        <f>IFERROR(__xludf.DUMMYFUNCTION("""COMPUTED_VALUE"""),"Void")</f>
        <v>Void</v>
      </c>
      <c r="B185" s="38" t="s">
        <v>151</v>
      </c>
      <c r="C185" s="38" t="s">
        <v>151</v>
      </c>
      <c r="D185" s="38" t="s">
        <v>151</v>
      </c>
      <c r="E185" s="38" t="s">
        <v>151</v>
      </c>
      <c r="F185" s="38" t="s">
        <v>151</v>
      </c>
      <c r="G185" s="38" t="s">
        <v>151</v>
      </c>
      <c r="H185" s="38" t="s">
        <v>151</v>
      </c>
      <c r="I185" s="38" t="s">
        <v>151</v>
      </c>
      <c r="J185" s="38" t="s">
        <v>151</v>
      </c>
      <c r="K185" s="38" t="s">
        <v>151</v>
      </c>
      <c r="L185" s="38" t="s">
        <v>151</v>
      </c>
      <c r="M185" s="38" t="s">
        <v>151</v>
      </c>
      <c r="N185" s="38" t="s">
        <v>151</v>
      </c>
      <c r="O185" s="38" t="s">
        <v>151</v>
      </c>
      <c r="P185" s="38" t="s">
        <v>151</v>
      </c>
      <c r="Q185" s="38" t="s">
        <v>151</v>
      </c>
      <c r="R185" s="38" t="s">
        <v>151</v>
      </c>
      <c r="S185" s="38" t="s">
        <v>151</v>
      </c>
      <c r="T185" s="45" t="s">
        <v>190</v>
      </c>
      <c r="U185" s="38" t="s">
        <v>151</v>
      </c>
      <c r="V185" s="38" t="s">
        <v>151</v>
      </c>
      <c r="W185" s="38" t="s">
        <v>151</v>
      </c>
      <c r="X185" s="38" t="s">
        <v>151</v>
      </c>
      <c r="Y185" s="38" t="s">
        <v>151</v>
      </c>
      <c r="Z185" s="38" t="s">
        <v>151</v>
      </c>
      <c r="AA185" s="38" t="s">
        <v>151</v>
      </c>
      <c r="AB185" s="38" t="s">
        <v>151</v>
      </c>
      <c r="AC185" s="38" t="s">
        <v>151</v>
      </c>
      <c r="AD185" s="38" t="s">
        <v>151</v>
      </c>
      <c r="AE185" s="38" t="s">
        <v>151</v>
      </c>
      <c r="AF185" s="38" t="s">
        <v>151</v>
      </c>
      <c r="AG185" s="38" t="s">
        <v>151</v>
      </c>
      <c r="AH185" s="38" t="s">
        <v>151</v>
      </c>
      <c r="AI185" s="38" t="s">
        <v>151</v>
      </c>
      <c r="AJ185" s="38" t="s">
        <v>151</v>
      </c>
      <c r="AK185" s="38" t="s">
        <v>151</v>
      </c>
      <c r="AL185" s="38" t="s">
        <v>151</v>
      </c>
      <c r="AM185" s="38" t="s">
        <v>151</v>
      </c>
      <c r="AN185" s="38" t="s">
        <v>151</v>
      </c>
      <c r="AO185" s="38" t="s">
        <v>151</v>
      </c>
      <c r="AP185" s="38" t="s">
        <v>151</v>
      </c>
      <c r="AQ185" s="38" t="s">
        <v>151</v>
      </c>
      <c r="AR185" s="38" t="s">
        <v>151</v>
      </c>
    </row>
    <row r="186">
      <c r="A186" s="1" t="str">
        <f>IFERROR(__xludf.DUMMYFUNCTION("""COMPUTED_VALUE"""),"Vox")</f>
        <v>Vox</v>
      </c>
      <c r="B186" s="38" t="s">
        <v>151</v>
      </c>
      <c r="C186" s="38" t="s">
        <v>151</v>
      </c>
      <c r="D186" s="38" t="s">
        <v>151</v>
      </c>
      <c r="E186" s="38" t="s">
        <v>151</v>
      </c>
      <c r="F186" s="38" t="s">
        <v>151</v>
      </c>
      <c r="G186" s="38" t="s">
        <v>151</v>
      </c>
      <c r="H186" s="38" t="s">
        <v>151</v>
      </c>
      <c r="I186" s="38" t="s">
        <v>151</v>
      </c>
      <c r="J186" s="38" t="s">
        <v>151</v>
      </c>
      <c r="K186" s="38" t="s">
        <v>151</v>
      </c>
      <c r="L186" s="38" t="s">
        <v>151</v>
      </c>
      <c r="M186" s="38" t="s">
        <v>151</v>
      </c>
      <c r="N186" s="38" t="s">
        <v>151</v>
      </c>
      <c r="O186" s="38" t="s">
        <v>151</v>
      </c>
      <c r="P186" s="38" t="s">
        <v>151</v>
      </c>
      <c r="Q186" s="38" t="s">
        <v>151</v>
      </c>
      <c r="R186" s="38" t="s">
        <v>151</v>
      </c>
      <c r="S186" s="38" t="s">
        <v>151</v>
      </c>
      <c r="T186" s="38" t="s">
        <v>151</v>
      </c>
      <c r="U186" s="38" t="s">
        <v>151</v>
      </c>
      <c r="V186" s="38" t="s">
        <v>151</v>
      </c>
      <c r="W186" s="38" t="s">
        <v>151</v>
      </c>
      <c r="X186" s="38" t="s">
        <v>151</v>
      </c>
      <c r="Y186" s="38" t="s">
        <v>151</v>
      </c>
      <c r="Z186" s="38" t="s">
        <v>151</v>
      </c>
      <c r="AA186" s="38" t="s">
        <v>151</v>
      </c>
      <c r="AB186" s="45" t="s">
        <v>190</v>
      </c>
      <c r="AC186" s="45" t="s">
        <v>190</v>
      </c>
      <c r="AD186" s="45" t="s">
        <v>190</v>
      </c>
      <c r="AE186" s="45" t="s">
        <v>190</v>
      </c>
      <c r="AF186" s="38" t="s">
        <v>151</v>
      </c>
      <c r="AG186" s="38" t="s">
        <v>151</v>
      </c>
      <c r="AH186" s="38" t="s">
        <v>151</v>
      </c>
      <c r="AI186" s="38" t="s">
        <v>151</v>
      </c>
      <c r="AJ186" s="38" t="s">
        <v>151</v>
      </c>
      <c r="AK186" s="38" t="s">
        <v>151</v>
      </c>
      <c r="AL186" s="38" t="s">
        <v>151</v>
      </c>
      <c r="AM186" s="45" t="s">
        <v>190</v>
      </c>
      <c r="AN186" s="38" t="s">
        <v>151</v>
      </c>
      <c r="AO186" s="38" t="s">
        <v>151</v>
      </c>
      <c r="AP186" s="38" t="s">
        <v>151</v>
      </c>
      <c r="AQ186" s="38" t="s">
        <v>151</v>
      </c>
      <c r="AR186" s="38" t="s">
        <v>151</v>
      </c>
    </row>
    <row r="187">
      <c r="A187" s="1" t="str">
        <f>IFERROR(__xludf.DUMMYFUNCTION("""COMPUTED_VALUE"""),"Vulture")</f>
        <v>Vulture</v>
      </c>
      <c r="B187" s="38" t="s">
        <v>151</v>
      </c>
      <c r="C187" s="38" t="s">
        <v>151</v>
      </c>
      <c r="D187" s="38" t="s">
        <v>151</v>
      </c>
      <c r="E187" s="38" t="s">
        <v>151</v>
      </c>
      <c r="F187" s="38" t="s">
        <v>151</v>
      </c>
      <c r="G187" s="38" t="s">
        <v>151</v>
      </c>
      <c r="H187" s="38" t="s">
        <v>151</v>
      </c>
      <c r="I187" s="38" t="s">
        <v>151</v>
      </c>
      <c r="J187" s="38" t="s">
        <v>151</v>
      </c>
      <c r="K187" s="38" t="s">
        <v>151</v>
      </c>
      <c r="L187" s="38" t="s">
        <v>151</v>
      </c>
      <c r="M187" s="38" t="s">
        <v>151</v>
      </c>
      <c r="N187" s="38" t="s">
        <v>151</v>
      </c>
      <c r="O187" s="38" t="s">
        <v>151</v>
      </c>
      <c r="P187" s="38" t="s">
        <v>151</v>
      </c>
      <c r="Q187" s="38" t="s">
        <v>151</v>
      </c>
      <c r="R187" s="38" t="s">
        <v>151</v>
      </c>
      <c r="S187" s="38" t="s">
        <v>151</v>
      </c>
      <c r="T187" s="45" t="s">
        <v>190</v>
      </c>
      <c r="U187" s="38" t="s">
        <v>151</v>
      </c>
      <c r="V187" s="38" t="s">
        <v>151</v>
      </c>
      <c r="W187" s="38" t="s">
        <v>151</v>
      </c>
      <c r="X187" s="38" t="s">
        <v>151</v>
      </c>
      <c r="Y187" s="38" t="s">
        <v>151</v>
      </c>
      <c r="Z187" s="45" t="s">
        <v>190</v>
      </c>
      <c r="AA187" s="38" t="s">
        <v>151</v>
      </c>
      <c r="AB187" s="45" t="s">
        <v>190</v>
      </c>
      <c r="AC187" s="38" t="s">
        <v>151</v>
      </c>
      <c r="AD187" s="38" t="s">
        <v>151</v>
      </c>
      <c r="AE187" s="38" t="s">
        <v>151</v>
      </c>
      <c r="AF187" s="38" t="s">
        <v>151</v>
      </c>
      <c r="AG187" s="38" t="s">
        <v>151</v>
      </c>
      <c r="AH187" s="38" t="s">
        <v>151</v>
      </c>
      <c r="AI187" s="38" t="s">
        <v>151</v>
      </c>
      <c r="AJ187" s="38" t="s">
        <v>151</v>
      </c>
      <c r="AK187" s="45" t="s">
        <v>190</v>
      </c>
      <c r="AL187" s="38" t="s">
        <v>151</v>
      </c>
      <c r="AM187" s="38" t="s">
        <v>151</v>
      </c>
      <c r="AN187" s="38" t="s">
        <v>151</v>
      </c>
      <c r="AO187" s="38" t="s">
        <v>151</v>
      </c>
      <c r="AP187" s="38" t="s">
        <v>151</v>
      </c>
      <c r="AQ187" s="38" t="s">
        <v>151</v>
      </c>
      <c r="AR187" s="38" t="s">
        <v>151</v>
      </c>
    </row>
    <row r="188">
      <c r="A188" s="1" t="str">
        <f>IFERROR(__xludf.DUMMYFUNCTION("""COMPUTED_VALUE"""),"War Machine")</f>
        <v>War Machine</v>
      </c>
      <c r="B188" s="38" t="s">
        <v>151</v>
      </c>
      <c r="C188" s="38" t="s">
        <v>151</v>
      </c>
      <c r="D188" s="38" t="s">
        <v>151</v>
      </c>
      <c r="E188" s="38" t="s">
        <v>151</v>
      </c>
      <c r="F188" s="38" t="s">
        <v>151</v>
      </c>
      <c r="G188" s="38" t="s">
        <v>151</v>
      </c>
      <c r="H188" s="38" t="s">
        <v>151</v>
      </c>
      <c r="I188" s="38" t="s">
        <v>151</v>
      </c>
      <c r="J188" s="38" t="s">
        <v>151</v>
      </c>
      <c r="K188" s="38" t="s">
        <v>151</v>
      </c>
      <c r="L188" s="38" t="s">
        <v>151</v>
      </c>
      <c r="M188" s="38" t="s">
        <v>151</v>
      </c>
      <c r="N188" s="38" t="s">
        <v>151</v>
      </c>
      <c r="O188" s="38" t="s">
        <v>151</v>
      </c>
      <c r="P188" s="38" t="s">
        <v>151</v>
      </c>
      <c r="Q188" s="38" t="s">
        <v>151</v>
      </c>
      <c r="R188" s="38" t="s">
        <v>151</v>
      </c>
      <c r="S188" s="38" t="s">
        <v>151</v>
      </c>
      <c r="T188" s="38" t="s">
        <v>151</v>
      </c>
      <c r="U188" s="38" t="s">
        <v>151</v>
      </c>
      <c r="V188" s="38" t="s">
        <v>151</v>
      </c>
      <c r="W188" s="38" t="s">
        <v>151</v>
      </c>
      <c r="X188" s="38" t="s">
        <v>151</v>
      </c>
      <c r="Y188" s="38" t="s">
        <v>151</v>
      </c>
      <c r="Z188" s="38" t="s">
        <v>151</v>
      </c>
      <c r="AA188" s="38" t="s">
        <v>151</v>
      </c>
      <c r="AB188" s="45" t="s">
        <v>190</v>
      </c>
      <c r="AC188" s="38" t="s">
        <v>151</v>
      </c>
      <c r="AD188" s="38" t="s">
        <v>151</v>
      </c>
      <c r="AE188" s="38" t="s">
        <v>151</v>
      </c>
      <c r="AF188" s="38" t="s">
        <v>151</v>
      </c>
      <c r="AG188" s="38" t="s">
        <v>151</v>
      </c>
      <c r="AH188" s="38" t="s">
        <v>151</v>
      </c>
      <c r="AI188" s="38" t="s">
        <v>151</v>
      </c>
      <c r="AJ188" s="38" t="s">
        <v>151</v>
      </c>
      <c r="AK188" s="38" t="s">
        <v>151</v>
      </c>
      <c r="AL188" s="38" t="s">
        <v>151</v>
      </c>
      <c r="AM188" s="38" t="s">
        <v>151</v>
      </c>
      <c r="AN188" s="38" t="s">
        <v>151</v>
      </c>
      <c r="AO188" s="38" t="s">
        <v>151</v>
      </c>
      <c r="AP188" s="38" t="s">
        <v>151</v>
      </c>
      <c r="AQ188" s="38" t="s">
        <v>151</v>
      </c>
      <c r="AR188" s="38" t="s">
        <v>151</v>
      </c>
    </row>
    <row r="189">
      <c r="A189" s="1" t="str">
        <f>IFERROR(__xludf.DUMMYFUNCTION("""COMPUTED_VALUE"""),"Warlock")</f>
        <v>Warlock</v>
      </c>
      <c r="B189" s="38" t="s">
        <v>151</v>
      </c>
      <c r="C189" s="38" t="s">
        <v>151</v>
      </c>
      <c r="D189" s="38" t="s">
        <v>151</v>
      </c>
      <c r="E189" s="38" t="s">
        <v>151</v>
      </c>
      <c r="F189" s="45" t="s">
        <v>190</v>
      </c>
      <c r="G189" s="38" t="s">
        <v>151</v>
      </c>
      <c r="H189" s="45" t="s">
        <v>190</v>
      </c>
      <c r="I189" s="38" t="s">
        <v>151</v>
      </c>
      <c r="J189" s="38" t="s">
        <v>151</v>
      </c>
      <c r="K189" s="38" t="s">
        <v>151</v>
      </c>
      <c r="L189" s="38" t="s">
        <v>151</v>
      </c>
      <c r="M189" s="38" t="s">
        <v>151</v>
      </c>
      <c r="N189" s="38" t="s">
        <v>151</v>
      </c>
      <c r="O189" s="38" t="s">
        <v>151</v>
      </c>
      <c r="P189" s="38" t="s">
        <v>151</v>
      </c>
      <c r="Q189" s="38" t="s">
        <v>151</v>
      </c>
      <c r="R189" s="45" t="s">
        <v>190</v>
      </c>
      <c r="S189" s="38" t="s">
        <v>151</v>
      </c>
      <c r="T189" s="38" t="s">
        <v>151</v>
      </c>
      <c r="U189" s="38" t="s">
        <v>151</v>
      </c>
      <c r="V189" s="38" t="s">
        <v>151</v>
      </c>
      <c r="W189" s="38" t="s">
        <v>151</v>
      </c>
      <c r="X189" s="38" t="s">
        <v>151</v>
      </c>
      <c r="Y189" s="38" t="s">
        <v>151</v>
      </c>
      <c r="Z189" s="38" t="s">
        <v>151</v>
      </c>
      <c r="AA189" s="38" t="s">
        <v>151</v>
      </c>
      <c r="AB189" s="45" t="s">
        <v>190</v>
      </c>
      <c r="AC189" s="38" t="s">
        <v>151</v>
      </c>
      <c r="AD189" s="38" t="s">
        <v>151</v>
      </c>
      <c r="AE189" s="38" t="s">
        <v>151</v>
      </c>
      <c r="AF189" s="38" t="s">
        <v>151</v>
      </c>
      <c r="AG189" s="38" t="s">
        <v>151</v>
      </c>
      <c r="AH189" s="38" t="s">
        <v>151</v>
      </c>
      <c r="AI189" s="38" t="s">
        <v>151</v>
      </c>
      <c r="AJ189" s="38" t="s">
        <v>151</v>
      </c>
      <c r="AK189" s="38" t="s">
        <v>151</v>
      </c>
      <c r="AL189" s="38" t="s">
        <v>151</v>
      </c>
      <c r="AM189" s="38" t="s">
        <v>151</v>
      </c>
      <c r="AN189" s="38" t="s">
        <v>151</v>
      </c>
      <c r="AO189" s="38" t="s">
        <v>151</v>
      </c>
      <c r="AP189" s="38" t="s">
        <v>151</v>
      </c>
      <c r="AQ189" s="38" t="s">
        <v>151</v>
      </c>
      <c r="AR189" s="38" t="s">
        <v>151</v>
      </c>
    </row>
    <row r="190">
      <c r="A190" s="1" t="str">
        <f>IFERROR(__xludf.DUMMYFUNCTION("""COMPUTED_VALUE"""),"Werewolf By Night")</f>
        <v>Werewolf By Night</v>
      </c>
      <c r="B190" s="38" t="s">
        <v>151</v>
      </c>
      <c r="C190" s="38" t="s">
        <v>151</v>
      </c>
      <c r="D190" s="38" t="s">
        <v>151</v>
      </c>
      <c r="E190" s="38" t="s">
        <v>151</v>
      </c>
      <c r="F190" s="38" t="s">
        <v>151</v>
      </c>
      <c r="G190" s="38" t="s">
        <v>151</v>
      </c>
      <c r="H190" s="38" t="s">
        <v>151</v>
      </c>
      <c r="I190" s="38" t="s">
        <v>151</v>
      </c>
      <c r="J190" s="38" t="s">
        <v>151</v>
      </c>
      <c r="K190" s="38" t="s">
        <v>151</v>
      </c>
      <c r="L190" s="38" t="s">
        <v>151</v>
      </c>
      <c r="M190" s="38" t="s">
        <v>151</v>
      </c>
      <c r="N190" s="38" t="s">
        <v>151</v>
      </c>
      <c r="O190" s="38" t="s">
        <v>151</v>
      </c>
      <c r="P190" s="38" t="s">
        <v>151</v>
      </c>
      <c r="Q190" s="38" t="s">
        <v>151</v>
      </c>
      <c r="R190" s="38" t="s">
        <v>151</v>
      </c>
      <c r="S190" s="45" t="s">
        <v>190</v>
      </c>
      <c r="T190" s="38" t="s">
        <v>151</v>
      </c>
      <c r="U190" s="38" t="s">
        <v>151</v>
      </c>
      <c r="V190" s="38" t="s">
        <v>151</v>
      </c>
      <c r="W190" s="38" t="s">
        <v>151</v>
      </c>
      <c r="X190" s="38" t="s">
        <v>151</v>
      </c>
      <c r="Y190" s="38" t="s">
        <v>151</v>
      </c>
      <c r="Z190" s="38" t="s">
        <v>151</v>
      </c>
      <c r="AA190" s="38" t="s">
        <v>151</v>
      </c>
      <c r="AB190" s="38" t="s">
        <v>151</v>
      </c>
      <c r="AC190" s="38" t="s">
        <v>151</v>
      </c>
      <c r="AD190" s="38" t="s">
        <v>151</v>
      </c>
      <c r="AE190" s="38" t="s">
        <v>151</v>
      </c>
      <c r="AF190" s="38" t="s">
        <v>151</v>
      </c>
      <c r="AG190" s="38" t="s">
        <v>151</v>
      </c>
      <c r="AH190" s="38" t="s">
        <v>151</v>
      </c>
      <c r="AI190" s="38" t="s">
        <v>151</v>
      </c>
      <c r="AJ190" s="38" t="s">
        <v>151</v>
      </c>
      <c r="AK190" s="38" t="s">
        <v>151</v>
      </c>
      <c r="AL190" s="38" t="s">
        <v>151</v>
      </c>
      <c r="AM190" s="38" t="s">
        <v>151</v>
      </c>
      <c r="AN190" s="38" t="s">
        <v>151</v>
      </c>
      <c r="AO190" s="38" t="s">
        <v>151</v>
      </c>
      <c r="AP190" s="38" t="s">
        <v>151</v>
      </c>
      <c r="AQ190" s="38" t="s">
        <v>151</v>
      </c>
      <c r="AR190" s="38" t="s">
        <v>151</v>
      </c>
    </row>
    <row r="191">
      <c r="A191" s="1" t="str">
        <f>IFERROR(__xludf.DUMMYFUNCTION("""COMPUTED_VALUE"""),"White Tiger")</f>
        <v>White Tiger</v>
      </c>
      <c r="B191" s="38" t="s">
        <v>151</v>
      </c>
      <c r="C191" s="38" t="s">
        <v>151</v>
      </c>
      <c r="D191" s="38" t="s">
        <v>151</v>
      </c>
      <c r="E191" s="38" t="s">
        <v>151</v>
      </c>
      <c r="F191" s="38" t="s">
        <v>151</v>
      </c>
      <c r="G191" s="38" t="s">
        <v>151</v>
      </c>
      <c r="H191" s="38" t="s">
        <v>151</v>
      </c>
      <c r="I191" s="38" t="s">
        <v>151</v>
      </c>
      <c r="J191" s="38" t="s">
        <v>151</v>
      </c>
      <c r="K191" s="38" t="s">
        <v>151</v>
      </c>
      <c r="L191" s="38" t="s">
        <v>151</v>
      </c>
      <c r="M191" s="38" t="s">
        <v>151</v>
      </c>
      <c r="N191" s="38" t="s">
        <v>151</v>
      </c>
      <c r="O191" s="38" t="s">
        <v>151</v>
      </c>
      <c r="P191" s="38" t="s">
        <v>151</v>
      </c>
      <c r="Q191" s="38" t="s">
        <v>151</v>
      </c>
      <c r="R191" s="38" t="s">
        <v>151</v>
      </c>
      <c r="S191" s="38" t="s">
        <v>151</v>
      </c>
      <c r="T191" s="38" t="s">
        <v>151</v>
      </c>
      <c r="U191" s="38" t="s">
        <v>151</v>
      </c>
      <c r="V191" s="38" t="s">
        <v>151</v>
      </c>
      <c r="W191" s="38" t="s">
        <v>151</v>
      </c>
      <c r="X191" s="38" t="s">
        <v>151</v>
      </c>
      <c r="Y191" s="38" t="s">
        <v>151</v>
      </c>
      <c r="Z191" s="45" t="s">
        <v>190</v>
      </c>
      <c r="AA191" s="38" t="s">
        <v>151</v>
      </c>
      <c r="AB191" s="38" t="s">
        <v>151</v>
      </c>
      <c r="AC191" s="38" t="s">
        <v>151</v>
      </c>
      <c r="AD191" s="38" t="s">
        <v>151</v>
      </c>
      <c r="AE191" s="38" t="s">
        <v>151</v>
      </c>
      <c r="AF191" s="38" t="s">
        <v>151</v>
      </c>
      <c r="AG191" s="38" t="s">
        <v>151</v>
      </c>
      <c r="AH191" s="38" t="s">
        <v>151</v>
      </c>
      <c r="AI191" s="38" t="s">
        <v>151</v>
      </c>
      <c r="AJ191" s="38" t="s">
        <v>151</v>
      </c>
      <c r="AK191" s="38" t="s">
        <v>151</v>
      </c>
      <c r="AL191" s="38" t="s">
        <v>151</v>
      </c>
      <c r="AM191" s="38" t="s">
        <v>151</v>
      </c>
      <c r="AN191" s="38" t="s">
        <v>151</v>
      </c>
      <c r="AO191" s="38" t="s">
        <v>151</v>
      </c>
      <c r="AP191" s="38" t="s">
        <v>151</v>
      </c>
      <c r="AQ191" s="38" t="s">
        <v>151</v>
      </c>
      <c r="AR191" s="38" t="s">
        <v>151</v>
      </c>
    </row>
    <row r="192">
      <c r="A192" s="1" t="str">
        <f>IFERROR(__xludf.DUMMYFUNCTION("""COMPUTED_VALUE"""),"Wiccan")</f>
        <v>Wiccan</v>
      </c>
      <c r="B192" s="38" t="s">
        <v>151</v>
      </c>
      <c r="C192" s="45" t="s">
        <v>190</v>
      </c>
      <c r="D192" s="38" t="s">
        <v>151</v>
      </c>
      <c r="E192" s="38" t="s">
        <v>151</v>
      </c>
      <c r="F192" s="38" t="s">
        <v>151</v>
      </c>
      <c r="G192" s="38" t="s">
        <v>151</v>
      </c>
      <c r="H192" s="38" t="s">
        <v>151</v>
      </c>
      <c r="I192" s="38" t="s">
        <v>151</v>
      </c>
      <c r="J192" s="38" t="s">
        <v>151</v>
      </c>
      <c r="K192" s="38" t="s">
        <v>151</v>
      </c>
      <c r="L192" s="38" t="s">
        <v>151</v>
      </c>
      <c r="M192" s="38" t="s">
        <v>151</v>
      </c>
      <c r="N192" s="38" t="s">
        <v>151</v>
      </c>
      <c r="O192" s="38" t="s">
        <v>151</v>
      </c>
      <c r="P192" s="45" t="s">
        <v>190</v>
      </c>
      <c r="Q192" s="38" t="s">
        <v>151</v>
      </c>
      <c r="R192" s="38" t="s">
        <v>151</v>
      </c>
      <c r="S192" s="38" t="s">
        <v>151</v>
      </c>
      <c r="T192" s="38" t="s">
        <v>151</v>
      </c>
      <c r="U192" s="38" t="s">
        <v>151</v>
      </c>
      <c r="V192" s="38" t="s">
        <v>151</v>
      </c>
      <c r="W192" s="38" t="s">
        <v>151</v>
      </c>
      <c r="X192" s="38" t="s">
        <v>151</v>
      </c>
      <c r="Y192" s="38" t="s">
        <v>151</v>
      </c>
      <c r="Z192" s="45" t="s">
        <v>190</v>
      </c>
      <c r="AA192" s="38" t="s">
        <v>151</v>
      </c>
      <c r="AB192" s="38" t="s">
        <v>151</v>
      </c>
      <c r="AC192" s="38" t="s">
        <v>151</v>
      </c>
      <c r="AD192" s="38" t="s">
        <v>151</v>
      </c>
      <c r="AE192" s="38" t="s">
        <v>151</v>
      </c>
      <c r="AF192" s="38" t="s">
        <v>151</v>
      </c>
      <c r="AG192" s="38" t="s">
        <v>151</v>
      </c>
      <c r="AH192" s="38" t="s">
        <v>151</v>
      </c>
      <c r="AI192" s="45" t="s">
        <v>190</v>
      </c>
      <c r="AJ192" s="38" t="s">
        <v>151</v>
      </c>
      <c r="AK192" s="38" t="s">
        <v>151</v>
      </c>
      <c r="AL192" s="38" t="s">
        <v>151</v>
      </c>
      <c r="AM192" s="38" t="s">
        <v>151</v>
      </c>
      <c r="AN192" s="38" t="s">
        <v>151</v>
      </c>
      <c r="AO192" s="38" t="s">
        <v>151</v>
      </c>
      <c r="AP192" s="45" t="s">
        <v>190</v>
      </c>
      <c r="AQ192" s="38" t="s">
        <v>151</v>
      </c>
      <c r="AR192" s="38" t="s">
        <v>151</v>
      </c>
    </row>
    <row r="193">
      <c r="A193" s="1" t="str">
        <f>IFERROR(__xludf.DUMMYFUNCTION("""COMPUTED_VALUE"""),"Wolverine (Weapon X)")</f>
        <v>Wolverine (Weapon X)</v>
      </c>
      <c r="B193" s="38" t="s">
        <v>151</v>
      </c>
      <c r="C193" s="38" t="s">
        <v>151</v>
      </c>
      <c r="D193" s="38" t="s">
        <v>151</v>
      </c>
      <c r="E193" s="38" t="s">
        <v>151</v>
      </c>
      <c r="F193" s="38" t="s">
        <v>151</v>
      </c>
      <c r="G193" s="38" t="s">
        <v>151</v>
      </c>
      <c r="H193" s="38" t="s">
        <v>151</v>
      </c>
      <c r="I193" s="38" t="s">
        <v>151</v>
      </c>
      <c r="J193" s="38" t="s">
        <v>151</v>
      </c>
      <c r="K193" s="38" t="s">
        <v>151</v>
      </c>
      <c r="L193" s="38" t="s">
        <v>151</v>
      </c>
      <c r="M193" s="38" t="s">
        <v>151</v>
      </c>
      <c r="N193" s="38" t="s">
        <v>151</v>
      </c>
      <c r="O193" s="38" t="s">
        <v>151</v>
      </c>
      <c r="P193" s="38" t="s">
        <v>151</v>
      </c>
      <c r="Q193" s="38" t="s">
        <v>151</v>
      </c>
      <c r="R193" s="38" t="s">
        <v>151</v>
      </c>
      <c r="S193" s="38" t="s">
        <v>151</v>
      </c>
      <c r="T193" s="38" t="s">
        <v>151</v>
      </c>
      <c r="U193" s="38" t="s">
        <v>151</v>
      </c>
      <c r="V193" s="38" t="s">
        <v>151</v>
      </c>
      <c r="W193" s="38" t="s">
        <v>151</v>
      </c>
      <c r="X193" s="38" t="s">
        <v>151</v>
      </c>
      <c r="Y193" s="38" t="s">
        <v>151</v>
      </c>
      <c r="Z193" s="38" t="s">
        <v>151</v>
      </c>
      <c r="AA193" s="45" t="s">
        <v>190</v>
      </c>
      <c r="AB193" s="38" t="s">
        <v>151</v>
      </c>
      <c r="AC193" s="38" t="s">
        <v>151</v>
      </c>
      <c r="AD193" s="38" t="s">
        <v>151</v>
      </c>
      <c r="AE193" s="38" t="s">
        <v>151</v>
      </c>
      <c r="AF193" s="38" t="s">
        <v>151</v>
      </c>
      <c r="AG193" s="38" t="s">
        <v>151</v>
      </c>
      <c r="AH193" s="38" t="s">
        <v>151</v>
      </c>
      <c r="AI193" s="38" t="s">
        <v>151</v>
      </c>
      <c r="AJ193" s="38" t="s">
        <v>151</v>
      </c>
      <c r="AK193" s="38" t="s">
        <v>151</v>
      </c>
      <c r="AL193" s="38" t="s">
        <v>151</v>
      </c>
      <c r="AM193" s="38" t="s">
        <v>151</v>
      </c>
      <c r="AN193" s="38" t="s">
        <v>151</v>
      </c>
      <c r="AO193" s="38" t="s">
        <v>151</v>
      </c>
      <c r="AP193" s="38" t="s">
        <v>151</v>
      </c>
      <c r="AQ193" s="38" t="s">
        <v>151</v>
      </c>
      <c r="AR193" s="38" t="s">
        <v>151</v>
      </c>
    </row>
    <row r="194">
      <c r="A194" s="1" t="str">
        <f>IFERROR(__xludf.DUMMYFUNCTION("""COMPUTED_VALUE"""),"Wong")</f>
        <v>Wong</v>
      </c>
      <c r="B194" s="38" t="s">
        <v>151</v>
      </c>
      <c r="C194" s="38" t="s">
        <v>151</v>
      </c>
      <c r="D194" s="38" t="s">
        <v>151</v>
      </c>
      <c r="E194" s="38" t="s">
        <v>151</v>
      </c>
      <c r="F194" s="38" t="s">
        <v>151</v>
      </c>
      <c r="G194" s="38" t="s">
        <v>151</v>
      </c>
      <c r="H194" s="38" t="s">
        <v>151</v>
      </c>
      <c r="I194" s="38" t="s">
        <v>151</v>
      </c>
      <c r="J194" s="38" t="s">
        <v>151</v>
      </c>
      <c r="K194" s="38" t="s">
        <v>151</v>
      </c>
      <c r="L194" s="38" t="s">
        <v>151</v>
      </c>
      <c r="M194" s="38" t="s">
        <v>151</v>
      </c>
      <c r="N194" s="38" t="s">
        <v>151</v>
      </c>
      <c r="O194" s="38" t="s">
        <v>151</v>
      </c>
      <c r="P194" s="45" t="s">
        <v>190</v>
      </c>
      <c r="Q194" s="38" t="s">
        <v>151</v>
      </c>
      <c r="R194" s="38" t="s">
        <v>151</v>
      </c>
      <c r="S194" s="38" t="s">
        <v>151</v>
      </c>
      <c r="T194" s="38" t="s">
        <v>151</v>
      </c>
      <c r="U194" s="38" t="s">
        <v>151</v>
      </c>
      <c r="V194" s="38" t="s">
        <v>151</v>
      </c>
      <c r="W194" s="38" t="s">
        <v>151</v>
      </c>
      <c r="X194" s="38" t="s">
        <v>151</v>
      </c>
      <c r="Y194" s="38" t="s">
        <v>151</v>
      </c>
      <c r="Z194" s="45" t="s">
        <v>190</v>
      </c>
      <c r="AA194" s="38" t="s">
        <v>151</v>
      </c>
      <c r="AB194" s="38" t="s">
        <v>151</v>
      </c>
      <c r="AC194" s="38" t="s">
        <v>151</v>
      </c>
      <c r="AD194" s="38" t="s">
        <v>151</v>
      </c>
      <c r="AE194" s="38" t="s">
        <v>151</v>
      </c>
      <c r="AF194" s="38" t="s">
        <v>151</v>
      </c>
      <c r="AG194" s="38" t="s">
        <v>151</v>
      </c>
      <c r="AH194" s="38" t="s">
        <v>151</v>
      </c>
      <c r="AI194" s="38" t="s">
        <v>151</v>
      </c>
      <c r="AJ194" s="38" t="s">
        <v>151</v>
      </c>
      <c r="AK194" s="38" t="s">
        <v>151</v>
      </c>
      <c r="AL194" s="38" t="s">
        <v>151</v>
      </c>
      <c r="AM194" s="38" t="s">
        <v>151</v>
      </c>
      <c r="AN194" s="38" t="s">
        <v>151</v>
      </c>
      <c r="AO194" s="38" t="s">
        <v>151</v>
      </c>
      <c r="AP194" s="38" t="s">
        <v>151</v>
      </c>
      <c r="AQ194" s="38" t="s">
        <v>151</v>
      </c>
      <c r="AR194" s="38" t="s">
        <v>151</v>
      </c>
    </row>
    <row r="195">
      <c r="A195" s="1" t="str">
        <f>IFERROR(__xludf.DUMMYFUNCTION("""COMPUTED_VALUE"""),"Yelena Belova")</f>
        <v>Yelena Belova</v>
      </c>
      <c r="B195" s="38" t="s">
        <v>151</v>
      </c>
      <c r="C195" s="38" t="s">
        <v>151</v>
      </c>
      <c r="D195" s="38" t="s">
        <v>151</v>
      </c>
      <c r="E195" s="38" t="s">
        <v>151</v>
      </c>
      <c r="F195" s="38" t="s">
        <v>151</v>
      </c>
      <c r="G195" s="38" t="s">
        <v>151</v>
      </c>
      <c r="H195" s="38" t="s">
        <v>151</v>
      </c>
      <c r="I195" s="38" t="s">
        <v>151</v>
      </c>
      <c r="J195" s="38" t="s">
        <v>151</v>
      </c>
      <c r="K195" s="38" t="s">
        <v>151</v>
      </c>
      <c r="L195" s="38" t="s">
        <v>151</v>
      </c>
      <c r="M195" s="38" t="s">
        <v>151</v>
      </c>
      <c r="N195" s="38" t="s">
        <v>151</v>
      </c>
      <c r="O195" s="38" t="s">
        <v>151</v>
      </c>
      <c r="P195" s="38" t="s">
        <v>151</v>
      </c>
      <c r="Q195" s="38" t="s">
        <v>151</v>
      </c>
      <c r="R195" s="38" t="s">
        <v>151</v>
      </c>
      <c r="S195" s="38" t="s">
        <v>151</v>
      </c>
      <c r="T195" s="38" t="s">
        <v>151</v>
      </c>
      <c r="U195" s="38" t="s">
        <v>151</v>
      </c>
      <c r="V195" s="38" t="s">
        <v>151</v>
      </c>
      <c r="W195" s="38" t="s">
        <v>151</v>
      </c>
      <c r="X195" s="38" t="s">
        <v>151</v>
      </c>
      <c r="Y195" s="38" t="s">
        <v>151</v>
      </c>
      <c r="Z195" s="38" t="s">
        <v>151</v>
      </c>
      <c r="AA195" s="38" t="s">
        <v>151</v>
      </c>
      <c r="AB195" s="45" t="s">
        <v>190</v>
      </c>
      <c r="AC195" s="38" t="s">
        <v>151</v>
      </c>
      <c r="AD195" s="38" t="s">
        <v>151</v>
      </c>
      <c r="AE195" s="38" t="s">
        <v>151</v>
      </c>
      <c r="AF195" s="38" t="s">
        <v>151</v>
      </c>
      <c r="AG195" s="38" t="s">
        <v>151</v>
      </c>
      <c r="AH195" s="38" t="s">
        <v>151</v>
      </c>
      <c r="AI195" s="38" t="s">
        <v>151</v>
      </c>
      <c r="AJ195" s="38" t="s">
        <v>151</v>
      </c>
      <c r="AK195" s="38" t="s">
        <v>151</v>
      </c>
      <c r="AL195" s="38" t="s">
        <v>151</v>
      </c>
      <c r="AM195" s="38" t="s">
        <v>151</v>
      </c>
      <c r="AN195" s="38" t="s">
        <v>151</v>
      </c>
      <c r="AO195" s="38" t="s">
        <v>151</v>
      </c>
      <c r="AP195" s="38" t="s">
        <v>151</v>
      </c>
      <c r="AQ195" s="38" t="s">
        <v>151</v>
      </c>
      <c r="AR195" s="38" t="s">
        <v>151</v>
      </c>
    </row>
    <row r="196">
      <c r="A196" s="1" t="str">
        <f>IFERROR(__xludf.DUMMYFUNCTION("""COMPUTED_VALUE"""),"Yellow Jacket")</f>
        <v>Yellow Jacket</v>
      </c>
      <c r="B196" s="38" t="s">
        <v>151</v>
      </c>
      <c r="C196" s="38" t="s">
        <v>151</v>
      </c>
      <c r="D196" s="38" t="s">
        <v>151</v>
      </c>
      <c r="E196" s="38" t="s">
        <v>151</v>
      </c>
      <c r="F196" s="38" t="s">
        <v>151</v>
      </c>
      <c r="G196" s="38" t="s">
        <v>151</v>
      </c>
      <c r="H196" s="38" t="s">
        <v>151</v>
      </c>
      <c r="I196" s="38" t="s">
        <v>151</v>
      </c>
      <c r="J196" s="38" t="s">
        <v>151</v>
      </c>
      <c r="K196" s="38" t="s">
        <v>151</v>
      </c>
      <c r="L196" s="38" t="s">
        <v>151</v>
      </c>
      <c r="M196" s="38" t="s">
        <v>151</v>
      </c>
      <c r="N196" s="38" t="s">
        <v>151</v>
      </c>
      <c r="O196" s="38" t="s">
        <v>151</v>
      </c>
      <c r="P196" s="38" t="s">
        <v>151</v>
      </c>
      <c r="Q196" s="38" t="s">
        <v>151</v>
      </c>
      <c r="R196" s="38" t="s">
        <v>151</v>
      </c>
      <c r="S196" s="38" t="s">
        <v>151</v>
      </c>
      <c r="T196" s="38" t="s">
        <v>151</v>
      </c>
      <c r="U196" s="38" t="s">
        <v>151</v>
      </c>
      <c r="V196" s="38" t="s">
        <v>151</v>
      </c>
      <c r="W196" s="38" t="s">
        <v>151</v>
      </c>
      <c r="X196" s="38" t="s">
        <v>151</v>
      </c>
      <c r="Y196" s="38" t="s">
        <v>151</v>
      </c>
      <c r="Z196" s="38" t="s">
        <v>151</v>
      </c>
      <c r="AA196" s="38" t="s">
        <v>151</v>
      </c>
      <c r="AB196" s="38" t="s">
        <v>151</v>
      </c>
      <c r="AC196" s="38" t="s">
        <v>151</v>
      </c>
      <c r="AD196" s="38" t="s">
        <v>151</v>
      </c>
      <c r="AE196" s="38" t="s">
        <v>151</v>
      </c>
      <c r="AF196" s="38" t="s">
        <v>151</v>
      </c>
      <c r="AG196" s="38" t="s">
        <v>151</v>
      </c>
      <c r="AH196" s="38" t="s">
        <v>151</v>
      </c>
      <c r="AI196" s="38" t="s">
        <v>151</v>
      </c>
      <c r="AJ196" s="38" t="s">
        <v>151</v>
      </c>
      <c r="AK196" s="45" t="s">
        <v>190</v>
      </c>
      <c r="AL196" s="38" t="s">
        <v>151</v>
      </c>
      <c r="AM196" s="38" t="s">
        <v>151</v>
      </c>
      <c r="AN196" s="38" t="s">
        <v>151</v>
      </c>
      <c r="AO196" s="38" t="s">
        <v>151</v>
      </c>
      <c r="AP196" s="38" t="s">
        <v>151</v>
      </c>
      <c r="AQ196" s="38" t="s">
        <v>151</v>
      </c>
      <c r="AR196" s="38" t="s">
        <v>151</v>
      </c>
    </row>
    <row r="197">
      <c r="A197" s="1" t="str">
        <f>IFERROR(__xludf.DUMMYFUNCTION("""COMPUTED_VALUE"""),"Yondu")</f>
        <v>Yondu</v>
      </c>
      <c r="B197" s="38" t="s">
        <v>151</v>
      </c>
      <c r="C197" s="38" t="s">
        <v>151</v>
      </c>
      <c r="D197" s="38" t="s">
        <v>151</v>
      </c>
      <c r="E197" s="38" t="s">
        <v>151</v>
      </c>
      <c r="F197" s="38" t="s">
        <v>151</v>
      </c>
      <c r="G197" s="38" t="s">
        <v>151</v>
      </c>
      <c r="H197" s="38" t="s">
        <v>151</v>
      </c>
      <c r="I197" s="45" t="s">
        <v>190</v>
      </c>
      <c r="J197" s="38" t="s">
        <v>151</v>
      </c>
      <c r="K197" s="38" t="s">
        <v>151</v>
      </c>
      <c r="L197" s="38" t="s">
        <v>151</v>
      </c>
      <c r="M197" s="38" t="s">
        <v>151</v>
      </c>
      <c r="N197" s="38" t="s">
        <v>151</v>
      </c>
      <c r="O197" s="38" t="s">
        <v>151</v>
      </c>
      <c r="P197" s="38" t="s">
        <v>151</v>
      </c>
      <c r="Q197" s="38" t="s">
        <v>151</v>
      </c>
      <c r="R197" s="38" t="s">
        <v>151</v>
      </c>
      <c r="S197" s="38" t="s">
        <v>151</v>
      </c>
      <c r="T197" s="38" t="s">
        <v>151</v>
      </c>
      <c r="U197" s="38" t="s">
        <v>151</v>
      </c>
      <c r="V197" s="38" t="s">
        <v>151</v>
      </c>
      <c r="W197" s="38" t="s">
        <v>151</v>
      </c>
      <c r="X197" s="38" t="s">
        <v>151</v>
      </c>
      <c r="Y197" s="38" t="s">
        <v>151</v>
      </c>
      <c r="Z197" s="38" t="s">
        <v>151</v>
      </c>
      <c r="AA197" s="38" t="s">
        <v>151</v>
      </c>
      <c r="AB197" s="38" t="s">
        <v>151</v>
      </c>
      <c r="AC197" s="38" t="s">
        <v>151</v>
      </c>
      <c r="AD197" s="38" t="s">
        <v>151</v>
      </c>
      <c r="AE197" s="38" t="s">
        <v>151</v>
      </c>
      <c r="AF197" s="38" t="s">
        <v>151</v>
      </c>
      <c r="AG197" s="38" t="s">
        <v>151</v>
      </c>
      <c r="AH197" s="38" t="s">
        <v>151</v>
      </c>
      <c r="AI197" s="38" t="s">
        <v>151</v>
      </c>
      <c r="AJ197" s="38" t="s">
        <v>151</v>
      </c>
      <c r="AK197" s="38" t="s">
        <v>151</v>
      </c>
      <c r="AL197" s="38" t="s">
        <v>151</v>
      </c>
      <c r="AM197" s="38" t="s">
        <v>151</v>
      </c>
      <c r="AN197" s="38" t="s">
        <v>151</v>
      </c>
      <c r="AO197" s="38" t="s">
        <v>151</v>
      </c>
      <c r="AP197" s="38" t="s">
        <v>151</v>
      </c>
      <c r="AQ197" s="38" t="s">
        <v>151</v>
      </c>
      <c r="AR197" s="38" t="s">
        <v>151</v>
      </c>
    </row>
    <row r="198">
      <c r="A198" s="84"/>
    </row>
    <row r="199">
      <c r="A199" s="84"/>
    </row>
    <row r="200">
      <c r="A200" s="84"/>
    </row>
    <row r="201">
      <c r="A201" s="84"/>
    </row>
    <row r="202">
      <c r="A202" s="84"/>
    </row>
    <row r="203">
      <c r="A203" s="84"/>
    </row>
    <row r="204">
      <c r="A204" s="84"/>
    </row>
    <row r="205">
      <c r="A205" s="84"/>
    </row>
    <row r="206">
      <c r="A206" s="84"/>
    </row>
    <row r="207">
      <c r="A207" s="84"/>
    </row>
    <row r="208">
      <c r="A208" s="84"/>
    </row>
    <row r="209">
      <c r="A209" s="84"/>
    </row>
    <row r="210">
      <c r="A210" s="84"/>
    </row>
    <row r="211">
      <c r="A211" s="84"/>
    </row>
    <row r="212">
      <c r="A212" s="84"/>
    </row>
    <row r="213">
      <c r="A213" s="84"/>
    </row>
    <row r="214">
      <c r="A214" s="84"/>
    </row>
    <row r="215">
      <c r="A215" s="84"/>
    </row>
    <row r="216">
      <c r="A216" s="84"/>
    </row>
    <row r="217">
      <c r="A217" s="84"/>
    </row>
    <row r="218">
      <c r="A218" s="84"/>
    </row>
    <row r="219">
      <c r="A219" s="84"/>
    </row>
    <row r="220">
      <c r="A220" s="84"/>
    </row>
    <row r="221">
      <c r="A221" s="84"/>
    </row>
    <row r="222">
      <c r="A222" s="84"/>
    </row>
    <row r="223">
      <c r="A223" s="84"/>
    </row>
    <row r="224">
      <c r="A224" s="84"/>
    </row>
    <row r="225">
      <c r="A225" s="84"/>
    </row>
    <row r="226">
      <c r="A226" s="84"/>
    </row>
    <row r="227">
      <c r="A227" s="84"/>
    </row>
    <row r="228">
      <c r="A228" s="84"/>
    </row>
    <row r="229">
      <c r="A229" s="84"/>
    </row>
    <row r="230">
      <c r="A230" s="84"/>
    </row>
    <row r="231">
      <c r="A231" s="84"/>
    </row>
    <row r="232">
      <c r="A232" s="84"/>
    </row>
    <row r="233">
      <c r="A233" s="84"/>
    </row>
    <row r="234">
      <c r="A234" s="84"/>
    </row>
    <row r="235">
      <c r="A235" s="84"/>
    </row>
    <row r="236">
      <c r="A236" s="84"/>
    </row>
    <row r="237">
      <c r="A237" s="84"/>
    </row>
    <row r="238">
      <c r="A238" s="84"/>
    </row>
    <row r="239">
      <c r="A239" s="84"/>
    </row>
    <row r="240">
      <c r="A240" s="84"/>
    </row>
    <row r="241">
      <c r="A241" s="84"/>
    </row>
    <row r="242">
      <c r="A242" s="84"/>
    </row>
    <row r="243">
      <c r="A243" s="84"/>
    </row>
    <row r="244">
      <c r="A244" s="84"/>
    </row>
    <row r="245">
      <c r="A245" s="84"/>
    </row>
    <row r="246">
      <c r="A246" s="84"/>
    </row>
    <row r="247">
      <c r="A247" s="84"/>
    </row>
    <row r="248">
      <c r="A248" s="84"/>
    </row>
    <row r="249">
      <c r="A249" s="84"/>
    </row>
    <row r="250">
      <c r="A250" s="84"/>
    </row>
    <row r="251">
      <c r="A251" s="84"/>
    </row>
    <row r="252">
      <c r="A252" s="84"/>
    </row>
    <row r="253">
      <c r="A253" s="84"/>
    </row>
    <row r="254">
      <c r="A254" s="84"/>
    </row>
    <row r="255">
      <c r="A255" s="84"/>
    </row>
    <row r="256">
      <c r="A256" s="84"/>
    </row>
    <row r="257">
      <c r="A257" s="84"/>
    </row>
    <row r="258">
      <c r="A258" s="84"/>
    </row>
    <row r="259">
      <c r="A259" s="84"/>
    </row>
    <row r="260">
      <c r="A260" s="84"/>
    </row>
    <row r="261">
      <c r="A261" s="84"/>
    </row>
    <row r="262">
      <c r="A262" s="84"/>
    </row>
    <row r="263">
      <c r="A263" s="84"/>
    </row>
    <row r="264">
      <c r="A264" s="84"/>
    </row>
    <row r="265">
      <c r="A265" s="84"/>
    </row>
    <row r="266">
      <c r="A266" s="84"/>
    </row>
    <row r="267">
      <c r="A267" s="84"/>
    </row>
    <row r="268">
      <c r="A268" s="84"/>
    </row>
    <row r="269">
      <c r="A269" s="84"/>
    </row>
    <row r="270">
      <c r="A270" s="84"/>
    </row>
    <row r="271">
      <c r="A271" s="84"/>
    </row>
    <row r="272">
      <c r="A272" s="84"/>
    </row>
    <row r="273">
      <c r="A273" s="84"/>
    </row>
    <row r="274">
      <c r="A274" s="84"/>
    </row>
    <row r="275">
      <c r="A275" s="84"/>
    </row>
    <row r="276">
      <c r="A276" s="84"/>
    </row>
    <row r="277">
      <c r="A277" s="84"/>
    </row>
    <row r="278">
      <c r="A278" s="84"/>
    </row>
    <row r="279">
      <c r="A279" s="84"/>
    </row>
    <row r="280">
      <c r="A280" s="84"/>
    </row>
    <row r="281">
      <c r="A281" s="84"/>
    </row>
    <row r="282">
      <c r="A282" s="84"/>
    </row>
    <row r="283">
      <c r="A283" s="84"/>
    </row>
    <row r="284">
      <c r="A284" s="84"/>
    </row>
    <row r="285">
      <c r="A285" s="84"/>
    </row>
    <row r="286">
      <c r="A286" s="84"/>
    </row>
    <row r="287">
      <c r="A287" s="84"/>
    </row>
    <row r="288">
      <c r="A288" s="84"/>
    </row>
    <row r="289">
      <c r="A289" s="84"/>
    </row>
    <row r="290">
      <c r="A290" s="84"/>
    </row>
    <row r="291">
      <c r="A291" s="84"/>
    </row>
    <row r="292">
      <c r="A292" s="84"/>
    </row>
    <row r="293">
      <c r="A293" s="84"/>
    </row>
    <row r="294">
      <c r="A294" s="84"/>
    </row>
    <row r="295">
      <c r="A295" s="84"/>
    </row>
    <row r="296">
      <c r="A296" s="84"/>
    </row>
    <row r="297">
      <c r="A297" s="84"/>
    </row>
    <row r="298">
      <c r="A298" s="84"/>
    </row>
    <row r="299">
      <c r="A299" s="84"/>
    </row>
    <row r="300">
      <c r="A300" s="84"/>
    </row>
    <row r="301">
      <c r="A301" s="84"/>
    </row>
    <row r="302">
      <c r="A302" s="84"/>
    </row>
    <row r="303">
      <c r="A303" s="84"/>
    </row>
    <row r="304">
      <c r="A304" s="84"/>
    </row>
    <row r="305">
      <c r="A305" s="84"/>
    </row>
    <row r="306">
      <c r="A306" s="84"/>
    </row>
    <row r="307">
      <c r="A307" s="84"/>
    </row>
    <row r="308">
      <c r="A308" s="84"/>
    </row>
    <row r="309">
      <c r="A309" s="84"/>
    </row>
    <row r="310">
      <c r="A310" s="84"/>
    </row>
    <row r="311">
      <c r="A311" s="84"/>
    </row>
    <row r="312">
      <c r="A312" s="84"/>
    </row>
    <row r="313">
      <c r="A313" s="84"/>
    </row>
    <row r="314">
      <c r="A314" s="84"/>
    </row>
    <row r="315">
      <c r="A315" s="84"/>
    </row>
    <row r="316">
      <c r="A316" s="84"/>
    </row>
    <row r="317">
      <c r="A317" s="84"/>
    </row>
    <row r="318">
      <c r="A318" s="84"/>
    </row>
    <row r="319">
      <c r="A319" s="84"/>
    </row>
    <row r="320">
      <c r="A320" s="84"/>
    </row>
    <row r="321">
      <c r="A321" s="84"/>
    </row>
    <row r="322">
      <c r="A322" s="84"/>
    </row>
    <row r="323">
      <c r="A323" s="84"/>
    </row>
    <row r="324">
      <c r="A324" s="84"/>
    </row>
    <row r="325">
      <c r="A325" s="84"/>
    </row>
    <row r="326">
      <c r="A326" s="84"/>
    </row>
    <row r="327">
      <c r="A327" s="84"/>
    </row>
    <row r="328">
      <c r="A328" s="84"/>
    </row>
    <row r="329">
      <c r="A329" s="84"/>
    </row>
    <row r="330">
      <c r="A330" s="84"/>
    </row>
    <row r="331">
      <c r="A331" s="84"/>
    </row>
    <row r="332">
      <c r="A332" s="84"/>
    </row>
    <row r="333">
      <c r="A333" s="84"/>
    </row>
    <row r="334">
      <c r="A334" s="84"/>
    </row>
    <row r="335">
      <c r="A335" s="84"/>
    </row>
    <row r="336">
      <c r="A336" s="84"/>
    </row>
    <row r="337">
      <c r="A337" s="84"/>
    </row>
    <row r="338">
      <c r="A338" s="84"/>
    </row>
    <row r="339">
      <c r="A339" s="84"/>
    </row>
    <row r="340">
      <c r="A340" s="84"/>
    </row>
    <row r="341">
      <c r="A341" s="84"/>
    </row>
    <row r="342">
      <c r="A342" s="84"/>
    </row>
    <row r="343">
      <c r="A343" s="84"/>
    </row>
    <row r="344">
      <c r="A344" s="84"/>
    </row>
    <row r="345">
      <c r="A345" s="84"/>
    </row>
    <row r="346">
      <c r="A346" s="84"/>
    </row>
    <row r="347">
      <c r="A347" s="84"/>
    </row>
    <row r="348">
      <c r="A348" s="84"/>
    </row>
    <row r="349">
      <c r="A349" s="84"/>
    </row>
    <row r="350">
      <c r="A350" s="84"/>
    </row>
    <row r="351">
      <c r="A351" s="84"/>
    </row>
    <row r="352">
      <c r="A352" s="84"/>
    </row>
    <row r="353">
      <c r="A353" s="84"/>
    </row>
    <row r="354">
      <c r="A354" s="84"/>
    </row>
    <row r="355">
      <c r="A355" s="84"/>
    </row>
    <row r="356">
      <c r="A356" s="84"/>
    </row>
    <row r="357">
      <c r="A357" s="84"/>
    </row>
    <row r="358">
      <c r="A358" s="84"/>
    </row>
    <row r="359">
      <c r="A359" s="84"/>
    </row>
    <row r="360">
      <c r="A360" s="84"/>
    </row>
    <row r="361">
      <c r="A361" s="84"/>
    </row>
    <row r="362">
      <c r="A362" s="84"/>
    </row>
    <row r="363">
      <c r="A363" s="84"/>
    </row>
    <row r="364">
      <c r="A364" s="84"/>
    </row>
    <row r="365">
      <c r="A365" s="84"/>
    </row>
    <row r="366">
      <c r="A366" s="84"/>
    </row>
    <row r="367">
      <c r="A367" s="84"/>
    </row>
    <row r="368">
      <c r="A368" s="84"/>
    </row>
    <row r="369">
      <c r="A369" s="84"/>
    </row>
    <row r="370">
      <c r="A370" s="84"/>
    </row>
    <row r="371">
      <c r="A371" s="84"/>
    </row>
    <row r="372">
      <c r="A372" s="84"/>
    </row>
    <row r="373">
      <c r="A373" s="84"/>
    </row>
    <row r="374">
      <c r="A374" s="84"/>
    </row>
    <row r="375">
      <c r="A375" s="84"/>
    </row>
    <row r="376">
      <c r="A376" s="84"/>
    </row>
    <row r="377">
      <c r="A377" s="84"/>
    </row>
    <row r="378">
      <c r="A378" s="84"/>
    </row>
    <row r="379">
      <c r="A379" s="84"/>
    </row>
    <row r="380">
      <c r="A380" s="84"/>
    </row>
    <row r="381">
      <c r="A381" s="84"/>
    </row>
    <row r="382">
      <c r="A382" s="84"/>
    </row>
    <row r="383">
      <c r="A383" s="84"/>
    </row>
    <row r="384">
      <c r="A384" s="84"/>
    </row>
    <row r="385">
      <c r="A385" s="84"/>
    </row>
    <row r="386">
      <c r="A386" s="84"/>
    </row>
    <row r="387">
      <c r="A387" s="84"/>
    </row>
    <row r="388">
      <c r="A388" s="84"/>
    </row>
    <row r="389">
      <c r="A389" s="84"/>
    </row>
    <row r="390">
      <c r="A390" s="84"/>
    </row>
    <row r="391">
      <c r="A391" s="84"/>
    </row>
    <row r="392">
      <c r="A392" s="84"/>
    </row>
    <row r="393">
      <c r="A393" s="84"/>
    </row>
    <row r="394">
      <c r="A394" s="84"/>
    </row>
    <row r="395">
      <c r="A395" s="84"/>
    </row>
    <row r="396">
      <c r="A396" s="84"/>
    </row>
    <row r="397">
      <c r="A397" s="84"/>
    </row>
    <row r="398">
      <c r="A398" s="84"/>
    </row>
    <row r="399">
      <c r="A399" s="84"/>
    </row>
    <row r="400">
      <c r="A400" s="84"/>
    </row>
    <row r="401">
      <c r="A401" s="84"/>
    </row>
    <row r="402">
      <c r="A402" s="84"/>
    </row>
    <row r="403">
      <c r="A403" s="84"/>
    </row>
    <row r="404">
      <c r="A404" s="84"/>
    </row>
    <row r="405">
      <c r="A405" s="84"/>
    </row>
    <row r="406">
      <c r="A406" s="84"/>
    </row>
    <row r="407">
      <c r="A407" s="84"/>
    </row>
    <row r="408">
      <c r="A408" s="84"/>
    </row>
    <row r="409">
      <c r="A409" s="84"/>
    </row>
    <row r="410">
      <c r="A410" s="84"/>
    </row>
    <row r="411">
      <c r="A411" s="84"/>
    </row>
    <row r="412">
      <c r="A412" s="84"/>
    </row>
    <row r="413">
      <c r="A413" s="84"/>
    </row>
    <row r="414">
      <c r="A414" s="84"/>
    </row>
    <row r="415">
      <c r="A415" s="84"/>
    </row>
    <row r="416">
      <c r="A416" s="84"/>
    </row>
    <row r="417">
      <c r="A417" s="84"/>
    </row>
    <row r="418">
      <c r="A418" s="84"/>
    </row>
    <row r="419">
      <c r="A419" s="84"/>
    </row>
    <row r="420">
      <c r="A420" s="84"/>
    </row>
    <row r="421">
      <c r="A421" s="84"/>
    </row>
    <row r="422">
      <c r="A422" s="84"/>
    </row>
    <row r="423">
      <c r="A423" s="84"/>
    </row>
    <row r="424">
      <c r="A424" s="84"/>
    </row>
    <row r="425">
      <c r="A425" s="84"/>
    </row>
    <row r="426">
      <c r="A426" s="84"/>
    </row>
    <row r="427">
      <c r="A427" s="84"/>
    </row>
    <row r="428">
      <c r="A428" s="84"/>
    </row>
    <row r="429">
      <c r="A429" s="84"/>
    </row>
    <row r="430">
      <c r="A430" s="84"/>
    </row>
    <row r="431">
      <c r="A431" s="84"/>
    </row>
    <row r="432">
      <c r="A432" s="84"/>
    </row>
    <row r="433">
      <c r="A433" s="84"/>
    </row>
    <row r="434">
      <c r="A434" s="84"/>
    </row>
    <row r="435">
      <c r="A435" s="84"/>
    </row>
    <row r="436">
      <c r="A436" s="84"/>
    </row>
    <row r="437">
      <c r="A437" s="84"/>
    </row>
    <row r="438">
      <c r="A438" s="84"/>
    </row>
    <row r="439">
      <c r="A439" s="84"/>
    </row>
    <row r="440">
      <c r="A440" s="84"/>
    </row>
    <row r="441">
      <c r="A441" s="84"/>
    </row>
    <row r="442">
      <c r="A442" s="84"/>
    </row>
    <row r="443">
      <c r="A443" s="84"/>
    </row>
    <row r="444">
      <c r="A444" s="84"/>
    </row>
    <row r="445">
      <c r="A445" s="84"/>
    </row>
    <row r="446">
      <c r="A446" s="84"/>
    </row>
    <row r="447">
      <c r="A447" s="84"/>
    </row>
    <row r="448">
      <c r="A448" s="84"/>
    </row>
    <row r="449">
      <c r="A449" s="84"/>
    </row>
    <row r="450">
      <c r="A450" s="84"/>
    </row>
    <row r="451">
      <c r="A451" s="84"/>
    </row>
    <row r="452">
      <c r="A452" s="84"/>
    </row>
    <row r="453">
      <c r="A453" s="84"/>
    </row>
    <row r="454">
      <c r="A454" s="84"/>
    </row>
    <row r="455">
      <c r="A455" s="84"/>
    </row>
    <row r="456">
      <c r="A456" s="84"/>
    </row>
    <row r="457">
      <c r="A457" s="84"/>
    </row>
    <row r="458">
      <c r="A458" s="84"/>
    </row>
    <row r="459">
      <c r="A459" s="84"/>
    </row>
    <row r="460">
      <c r="A460" s="84"/>
    </row>
    <row r="461">
      <c r="A461" s="84"/>
    </row>
    <row r="462">
      <c r="A462" s="84"/>
    </row>
    <row r="463">
      <c r="A463" s="84"/>
    </row>
    <row r="464">
      <c r="A464" s="84"/>
    </row>
    <row r="465">
      <c r="A465" s="84"/>
    </row>
    <row r="466">
      <c r="A466" s="84"/>
    </row>
    <row r="467">
      <c r="A467" s="84"/>
    </row>
    <row r="468">
      <c r="A468" s="84"/>
    </row>
    <row r="469">
      <c r="A469" s="84"/>
    </row>
    <row r="470">
      <c r="A470" s="84"/>
    </row>
    <row r="471">
      <c r="A471" s="84"/>
    </row>
    <row r="472">
      <c r="A472" s="84"/>
    </row>
    <row r="473">
      <c r="A473" s="84"/>
    </row>
    <row r="474">
      <c r="A474" s="84"/>
    </row>
    <row r="475">
      <c r="A475" s="84"/>
    </row>
    <row r="476">
      <c r="A476" s="84"/>
    </row>
    <row r="477">
      <c r="A477" s="84"/>
    </row>
    <row r="478">
      <c r="A478" s="84"/>
    </row>
    <row r="479">
      <c r="A479" s="84"/>
    </row>
    <row r="480">
      <c r="A480" s="84"/>
    </row>
    <row r="481">
      <c r="A481" s="84"/>
    </row>
    <row r="482">
      <c r="A482" s="84"/>
    </row>
    <row r="483">
      <c r="A483" s="84"/>
    </row>
    <row r="484">
      <c r="A484" s="84"/>
    </row>
    <row r="485">
      <c r="A485" s="84"/>
    </row>
    <row r="486">
      <c r="A486" s="84"/>
    </row>
    <row r="487">
      <c r="A487" s="84"/>
    </row>
    <row r="488">
      <c r="A488" s="84"/>
    </row>
    <row r="489">
      <c r="A489" s="84"/>
    </row>
    <row r="490">
      <c r="A490" s="84"/>
    </row>
    <row r="491">
      <c r="A491" s="84"/>
    </row>
    <row r="492">
      <c r="A492" s="84"/>
    </row>
    <row r="493">
      <c r="A493" s="84"/>
    </row>
    <row r="494">
      <c r="A494" s="84"/>
    </row>
    <row r="495">
      <c r="A495" s="84"/>
    </row>
    <row r="496">
      <c r="A496" s="84"/>
    </row>
    <row r="497">
      <c r="A497" s="84"/>
    </row>
    <row r="498">
      <c r="A498" s="84"/>
    </row>
    <row r="499">
      <c r="A499" s="84"/>
    </row>
    <row r="500">
      <c r="A500" s="84"/>
    </row>
    <row r="501">
      <c r="A501" s="84"/>
    </row>
    <row r="502">
      <c r="A502" s="84"/>
    </row>
    <row r="503">
      <c r="A503" s="84"/>
    </row>
    <row r="504">
      <c r="A504" s="84"/>
    </row>
    <row r="505">
      <c r="A505" s="84"/>
    </row>
    <row r="506">
      <c r="A506" s="84"/>
    </row>
    <row r="507">
      <c r="A507" s="84"/>
    </row>
    <row r="508">
      <c r="A508" s="84"/>
    </row>
    <row r="509">
      <c r="A509" s="84"/>
    </row>
    <row r="510">
      <c r="A510" s="84"/>
    </row>
    <row r="511">
      <c r="A511" s="84"/>
    </row>
    <row r="512">
      <c r="A512" s="84"/>
    </row>
    <row r="513">
      <c r="A513" s="84"/>
    </row>
    <row r="514">
      <c r="A514" s="84"/>
    </row>
    <row r="515">
      <c r="A515" s="84"/>
    </row>
    <row r="516">
      <c r="A516" s="84"/>
    </row>
    <row r="517">
      <c r="A517" s="84"/>
    </row>
    <row r="518">
      <c r="A518" s="84"/>
    </row>
    <row r="519">
      <c r="A519" s="84"/>
    </row>
    <row r="520">
      <c r="A520" s="84"/>
    </row>
    <row r="521">
      <c r="A521" s="84"/>
    </row>
    <row r="522">
      <c r="A522" s="84"/>
    </row>
    <row r="523">
      <c r="A523" s="84"/>
    </row>
    <row r="524">
      <c r="A524" s="84"/>
    </row>
    <row r="525">
      <c r="A525" s="84"/>
    </row>
    <row r="526">
      <c r="A526" s="84"/>
    </row>
    <row r="527">
      <c r="A527" s="84"/>
    </row>
    <row r="528">
      <c r="A528" s="84"/>
    </row>
    <row r="529">
      <c r="A529" s="84"/>
    </row>
    <row r="530">
      <c r="A530" s="84"/>
    </row>
    <row r="531">
      <c r="A531" s="84"/>
    </row>
    <row r="532">
      <c r="A532" s="84"/>
    </row>
    <row r="533">
      <c r="A533" s="84"/>
    </row>
    <row r="534">
      <c r="A534" s="84"/>
    </row>
    <row r="535">
      <c r="A535" s="84"/>
    </row>
    <row r="536">
      <c r="A536" s="84"/>
    </row>
    <row r="537">
      <c r="A537" s="84"/>
    </row>
    <row r="538">
      <c r="A538" s="84"/>
    </row>
    <row r="539">
      <c r="A539" s="84"/>
    </row>
    <row r="540">
      <c r="A540" s="84"/>
    </row>
    <row r="541">
      <c r="A541" s="84"/>
    </row>
    <row r="542">
      <c r="A542" s="84"/>
    </row>
    <row r="543">
      <c r="A543" s="84"/>
    </row>
    <row r="544">
      <c r="A544" s="84"/>
    </row>
    <row r="545">
      <c r="A545" s="84"/>
    </row>
    <row r="546">
      <c r="A546" s="84"/>
    </row>
    <row r="547">
      <c r="A547" s="84"/>
    </row>
    <row r="548">
      <c r="A548" s="84"/>
    </row>
    <row r="549">
      <c r="A549" s="84"/>
    </row>
    <row r="550">
      <c r="A550" s="84"/>
    </row>
    <row r="551">
      <c r="A551" s="84"/>
    </row>
    <row r="552">
      <c r="A552" s="84"/>
    </row>
    <row r="553">
      <c r="A553" s="84"/>
    </row>
    <row r="554">
      <c r="A554" s="84"/>
    </row>
    <row r="555">
      <c r="A555" s="84"/>
    </row>
    <row r="556">
      <c r="A556" s="84"/>
    </row>
    <row r="557">
      <c r="A557" s="84"/>
    </row>
    <row r="558">
      <c r="A558" s="84"/>
    </row>
    <row r="559">
      <c r="A559" s="84"/>
    </row>
    <row r="560">
      <c r="A560" s="84"/>
    </row>
    <row r="561">
      <c r="A561" s="84"/>
    </row>
    <row r="562">
      <c r="A562" s="84"/>
    </row>
    <row r="563">
      <c r="A563" s="84"/>
    </row>
    <row r="564">
      <c r="A564" s="84"/>
    </row>
    <row r="565">
      <c r="A565" s="84"/>
    </row>
    <row r="566">
      <c r="A566" s="84"/>
    </row>
    <row r="567">
      <c r="A567" s="84"/>
    </row>
    <row r="568">
      <c r="A568" s="84"/>
    </row>
    <row r="569">
      <c r="A569" s="84"/>
    </row>
    <row r="570">
      <c r="A570" s="84"/>
    </row>
    <row r="571">
      <c r="A571" s="84"/>
    </row>
    <row r="572">
      <c r="A572" s="84"/>
    </row>
    <row r="573">
      <c r="A573" s="84"/>
    </row>
    <row r="574">
      <c r="A574" s="84"/>
    </row>
    <row r="575">
      <c r="A575" s="84"/>
    </row>
    <row r="576">
      <c r="A576" s="84"/>
    </row>
    <row r="577">
      <c r="A577" s="84"/>
    </row>
    <row r="578">
      <c r="A578" s="84"/>
    </row>
    <row r="579">
      <c r="A579" s="84"/>
    </row>
    <row r="580">
      <c r="A580" s="84"/>
    </row>
    <row r="581">
      <c r="A581" s="84"/>
    </row>
    <row r="582">
      <c r="A582" s="84"/>
    </row>
    <row r="583">
      <c r="A583" s="84"/>
    </row>
    <row r="584">
      <c r="A584" s="84"/>
    </row>
    <row r="585">
      <c r="A585" s="84"/>
    </row>
    <row r="586">
      <c r="A586" s="84"/>
    </row>
    <row r="587">
      <c r="A587" s="84"/>
    </row>
    <row r="588">
      <c r="A588" s="84"/>
    </row>
    <row r="589">
      <c r="A589" s="84"/>
    </row>
    <row r="590">
      <c r="A590" s="84"/>
    </row>
    <row r="591">
      <c r="A591" s="84"/>
    </row>
    <row r="592">
      <c r="A592" s="84"/>
    </row>
    <row r="593">
      <c r="A593" s="84"/>
    </row>
    <row r="594">
      <c r="A594" s="84"/>
    </row>
    <row r="595">
      <c r="A595" s="84"/>
    </row>
    <row r="596">
      <c r="A596" s="84"/>
    </row>
    <row r="597">
      <c r="A597" s="84"/>
    </row>
    <row r="598">
      <c r="A598" s="84"/>
    </row>
    <row r="599">
      <c r="A599" s="84"/>
    </row>
    <row r="600">
      <c r="A600" s="84"/>
    </row>
    <row r="601">
      <c r="A601" s="84"/>
    </row>
    <row r="602">
      <c r="A602" s="84"/>
    </row>
    <row r="603">
      <c r="A603" s="84"/>
    </row>
    <row r="604">
      <c r="A604" s="84"/>
    </row>
    <row r="605">
      <c r="A605" s="84"/>
    </row>
    <row r="606">
      <c r="A606" s="84"/>
    </row>
    <row r="607">
      <c r="A607" s="84"/>
    </row>
    <row r="608">
      <c r="A608" s="84"/>
    </row>
    <row r="609">
      <c r="A609" s="84"/>
    </row>
    <row r="610">
      <c r="A610" s="84"/>
    </row>
    <row r="611">
      <c r="A611" s="84"/>
    </row>
    <row r="612">
      <c r="A612" s="84"/>
    </row>
    <row r="613">
      <c r="A613" s="84"/>
    </row>
    <row r="614">
      <c r="A614" s="84"/>
    </row>
    <row r="615">
      <c r="A615" s="84"/>
    </row>
    <row r="616">
      <c r="A616" s="84"/>
    </row>
    <row r="617">
      <c r="A617" s="84"/>
    </row>
    <row r="618">
      <c r="A618" s="84"/>
    </row>
    <row r="619">
      <c r="A619" s="84"/>
    </row>
    <row r="620">
      <c r="A620" s="84"/>
    </row>
    <row r="621">
      <c r="A621" s="84"/>
    </row>
    <row r="622">
      <c r="A622" s="84"/>
    </row>
    <row r="623">
      <c r="A623" s="84"/>
    </row>
    <row r="624">
      <c r="A624" s="84"/>
    </row>
    <row r="625">
      <c r="A625" s="84"/>
    </row>
    <row r="626">
      <c r="A626" s="84"/>
    </row>
    <row r="627">
      <c r="A627" s="84"/>
    </row>
    <row r="628">
      <c r="A628" s="84"/>
    </row>
    <row r="629">
      <c r="A629" s="84"/>
    </row>
    <row r="630">
      <c r="A630" s="84"/>
    </row>
    <row r="631">
      <c r="A631" s="84"/>
    </row>
    <row r="632">
      <c r="A632" s="84"/>
    </row>
    <row r="633">
      <c r="A633" s="84"/>
    </row>
    <row r="634">
      <c r="A634" s="84"/>
    </row>
    <row r="635">
      <c r="A635" s="84"/>
    </row>
    <row r="636">
      <c r="A636" s="84"/>
    </row>
    <row r="637">
      <c r="A637" s="84"/>
    </row>
    <row r="638">
      <c r="A638" s="84"/>
    </row>
    <row r="639">
      <c r="A639" s="84"/>
    </row>
    <row r="640">
      <c r="A640" s="84"/>
    </row>
    <row r="641">
      <c r="A641" s="84"/>
    </row>
    <row r="642">
      <c r="A642" s="84"/>
    </row>
    <row r="643">
      <c r="A643" s="84"/>
    </row>
    <row r="644">
      <c r="A644" s="84"/>
    </row>
    <row r="645">
      <c r="A645" s="84"/>
    </row>
    <row r="646">
      <c r="A646" s="84"/>
    </row>
    <row r="647">
      <c r="A647" s="84"/>
    </row>
    <row r="648">
      <c r="A648" s="84"/>
    </row>
    <row r="649">
      <c r="A649" s="84"/>
    </row>
    <row r="650">
      <c r="A650" s="84"/>
    </row>
    <row r="651">
      <c r="A651" s="84"/>
    </row>
    <row r="652">
      <c r="A652" s="84"/>
    </row>
    <row r="653">
      <c r="A653" s="84"/>
    </row>
    <row r="654">
      <c r="A654" s="84"/>
    </row>
    <row r="655">
      <c r="A655" s="84"/>
    </row>
    <row r="656">
      <c r="A656" s="84"/>
    </row>
    <row r="657">
      <c r="A657" s="84"/>
    </row>
    <row r="658">
      <c r="A658" s="84"/>
    </row>
    <row r="659">
      <c r="A659" s="84"/>
    </row>
    <row r="660">
      <c r="A660" s="84"/>
    </row>
    <row r="661">
      <c r="A661" s="84"/>
    </row>
    <row r="662">
      <c r="A662" s="84"/>
    </row>
    <row r="663">
      <c r="A663" s="84"/>
    </row>
    <row r="664">
      <c r="A664" s="84"/>
    </row>
    <row r="665">
      <c r="A665" s="84"/>
    </row>
    <row r="666">
      <c r="A666" s="84"/>
    </row>
    <row r="667">
      <c r="A667" s="84"/>
    </row>
    <row r="668">
      <c r="A668" s="84"/>
    </row>
    <row r="669">
      <c r="A669" s="84"/>
    </row>
    <row r="670">
      <c r="A670" s="84"/>
    </row>
    <row r="671">
      <c r="A671" s="84"/>
    </row>
    <row r="672">
      <c r="A672" s="84"/>
    </row>
    <row r="673">
      <c r="A673" s="84"/>
    </row>
    <row r="674">
      <c r="A674" s="84"/>
    </row>
    <row r="675">
      <c r="A675" s="84"/>
    </row>
    <row r="676">
      <c r="A676" s="84"/>
    </row>
    <row r="677">
      <c r="A677" s="84"/>
    </row>
    <row r="678">
      <c r="A678" s="84"/>
    </row>
    <row r="679">
      <c r="A679" s="84"/>
    </row>
    <row r="680">
      <c r="A680" s="84"/>
    </row>
    <row r="681">
      <c r="A681" s="84"/>
    </row>
    <row r="682">
      <c r="A682" s="84"/>
    </row>
    <row r="683">
      <c r="A683" s="84"/>
    </row>
    <row r="684">
      <c r="A684" s="84"/>
    </row>
    <row r="685">
      <c r="A685" s="84"/>
    </row>
    <row r="686">
      <c r="A686" s="84"/>
    </row>
    <row r="687">
      <c r="A687" s="84"/>
    </row>
    <row r="688">
      <c r="A688" s="84"/>
    </row>
    <row r="689">
      <c r="A689" s="84"/>
    </row>
    <row r="690">
      <c r="A690" s="84"/>
    </row>
    <row r="691">
      <c r="A691" s="84"/>
    </row>
    <row r="692">
      <c r="A692" s="84"/>
    </row>
    <row r="693">
      <c r="A693" s="84"/>
    </row>
    <row r="694">
      <c r="A694" s="84"/>
    </row>
    <row r="695">
      <c r="A695" s="84"/>
    </row>
    <row r="696">
      <c r="A696" s="84"/>
    </row>
    <row r="697">
      <c r="A697" s="84"/>
    </row>
    <row r="698">
      <c r="A698" s="84"/>
    </row>
    <row r="699">
      <c r="A699" s="84"/>
    </row>
    <row r="700">
      <c r="A700" s="84"/>
    </row>
    <row r="701">
      <c r="A701" s="84"/>
    </row>
    <row r="702">
      <c r="A702" s="84"/>
    </row>
    <row r="703">
      <c r="A703" s="84"/>
    </row>
    <row r="704">
      <c r="A704" s="84"/>
    </row>
    <row r="705">
      <c r="A705" s="84"/>
    </row>
    <row r="706">
      <c r="A706" s="84"/>
    </row>
    <row r="707">
      <c r="A707" s="84"/>
    </row>
    <row r="708">
      <c r="A708" s="84"/>
    </row>
    <row r="709">
      <c r="A709" s="84"/>
    </row>
    <row r="710">
      <c r="A710" s="84"/>
    </row>
    <row r="711">
      <c r="A711" s="84"/>
    </row>
    <row r="712">
      <c r="A712" s="84"/>
    </row>
    <row r="713">
      <c r="A713" s="84"/>
    </row>
    <row r="714">
      <c r="A714" s="84"/>
    </row>
    <row r="715">
      <c r="A715" s="84"/>
    </row>
    <row r="716">
      <c r="A716" s="84"/>
    </row>
    <row r="717">
      <c r="A717" s="84"/>
    </row>
    <row r="718">
      <c r="A718" s="84"/>
    </row>
    <row r="719">
      <c r="A719" s="84"/>
    </row>
    <row r="720">
      <c r="A720" s="84"/>
    </row>
    <row r="721">
      <c r="A721" s="84"/>
    </row>
    <row r="722">
      <c r="A722" s="84"/>
    </row>
    <row r="723">
      <c r="A723" s="84"/>
    </row>
    <row r="724">
      <c r="A724" s="84"/>
    </row>
    <row r="725">
      <c r="A725" s="84"/>
    </row>
    <row r="726">
      <c r="A726" s="84"/>
    </row>
    <row r="727">
      <c r="A727" s="84"/>
    </row>
    <row r="728">
      <c r="A728" s="84"/>
    </row>
    <row r="729">
      <c r="A729" s="84"/>
    </row>
    <row r="730">
      <c r="A730" s="84"/>
    </row>
    <row r="731">
      <c r="A731" s="84"/>
    </row>
    <row r="732">
      <c r="A732" s="84"/>
    </row>
    <row r="733">
      <c r="A733" s="84"/>
    </row>
    <row r="734">
      <c r="A734" s="84"/>
    </row>
    <row r="735">
      <c r="A735" s="84"/>
    </row>
    <row r="736">
      <c r="A736" s="84"/>
    </row>
    <row r="737">
      <c r="A737" s="84"/>
    </row>
    <row r="738">
      <c r="A738" s="84"/>
    </row>
    <row r="739">
      <c r="A739" s="84"/>
    </row>
    <row r="740">
      <c r="A740" s="84"/>
    </row>
    <row r="741">
      <c r="A741" s="84"/>
    </row>
    <row r="742">
      <c r="A742" s="84"/>
    </row>
    <row r="743">
      <c r="A743" s="84"/>
    </row>
    <row r="744">
      <c r="A744" s="84"/>
    </row>
    <row r="745">
      <c r="A745" s="84"/>
    </row>
    <row r="746">
      <c r="A746" s="84"/>
    </row>
    <row r="747">
      <c r="A747" s="84"/>
    </row>
    <row r="748">
      <c r="A748" s="84"/>
    </row>
    <row r="749">
      <c r="A749" s="84"/>
    </row>
    <row r="750">
      <c r="A750" s="84"/>
    </row>
    <row r="751">
      <c r="A751" s="84"/>
    </row>
    <row r="752">
      <c r="A752" s="84"/>
    </row>
    <row r="753">
      <c r="A753" s="84"/>
    </row>
    <row r="754">
      <c r="A754" s="84"/>
    </row>
    <row r="755">
      <c r="A755" s="84"/>
    </row>
    <row r="756">
      <c r="A756" s="84"/>
    </row>
    <row r="757">
      <c r="A757" s="84"/>
    </row>
    <row r="758">
      <c r="A758" s="84"/>
    </row>
    <row r="759">
      <c r="A759" s="84"/>
    </row>
    <row r="760">
      <c r="A760" s="84"/>
    </row>
    <row r="761">
      <c r="A761" s="84"/>
    </row>
    <row r="762">
      <c r="A762" s="84"/>
    </row>
    <row r="763">
      <c r="A763" s="84"/>
    </row>
    <row r="764">
      <c r="A764" s="84"/>
    </row>
    <row r="765">
      <c r="A765" s="84"/>
    </row>
    <row r="766">
      <c r="A766" s="84"/>
    </row>
    <row r="767">
      <c r="A767" s="84"/>
    </row>
    <row r="768">
      <c r="A768" s="84"/>
    </row>
    <row r="769">
      <c r="A769" s="84"/>
    </row>
    <row r="770">
      <c r="A770" s="84"/>
    </row>
    <row r="771">
      <c r="A771" s="84"/>
    </row>
    <row r="772">
      <c r="A772" s="84"/>
    </row>
    <row r="773">
      <c r="A773" s="84"/>
    </row>
    <row r="774">
      <c r="A774" s="84"/>
    </row>
    <row r="775">
      <c r="A775" s="84"/>
    </row>
    <row r="776">
      <c r="A776" s="84"/>
    </row>
    <row r="777">
      <c r="A777" s="84"/>
    </row>
    <row r="778">
      <c r="A778" s="84"/>
    </row>
    <row r="779">
      <c r="A779" s="84"/>
    </row>
    <row r="780">
      <c r="A780" s="84"/>
    </row>
    <row r="781">
      <c r="A781" s="84"/>
    </row>
    <row r="782">
      <c r="A782" s="84"/>
    </row>
    <row r="783">
      <c r="A783" s="84"/>
    </row>
    <row r="784">
      <c r="A784" s="84"/>
    </row>
    <row r="785">
      <c r="A785" s="84"/>
    </row>
    <row r="786">
      <c r="A786" s="84"/>
    </row>
    <row r="787">
      <c r="A787" s="84"/>
    </row>
    <row r="788">
      <c r="A788" s="84"/>
    </row>
    <row r="789">
      <c r="A789" s="84"/>
    </row>
    <row r="790">
      <c r="A790" s="84"/>
    </row>
    <row r="791">
      <c r="A791" s="84"/>
    </row>
    <row r="792">
      <c r="A792" s="84"/>
    </row>
    <row r="793">
      <c r="A793" s="84"/>
    </row>
    <row r="794">
      <c r="A794" s="84"/>
    </row>
    <row r="795">
      <c r="A795" s="84"/>
    </row>
    <row r="796">
      <c r="A796" s="84"/>
    </row>
    <row r="797">
      <c r="A797" s="84"/>
    </row>
    <row r="798">
      <c r="A798" s="84"/>
    </row>
    <row r="799">
      <c r="A799" s="84"/>
    </row>
    <row r="800">
      <c r="A800" s="84"/>
    </row>
    <row r="801">
      <c r="A801" s="84"/>
    </row>
    <row r="802">
      <c r="A802" s="84"/>
    </row>
    <row r="803">
      <c r="A803" s="84"/>
    </row>
    <row r="804">
      <c r="A804" s="84"/>
    </row>
    <row r="805">
      <c r="A805" s="84"/>
    </row>
    <row r="806">
      <c r="A806" s="84"/>
    </row>
    <row r="807">
      <c r="A807" s="84"/>
    </row>
    <row r="808">
      <c r="A808" s="84"/>
    </row>
    <row r="809">
      <c r="A809" s="84"/>
    </row>
    <row r="810">
      <c r="A810" s="84"/>
    </row>
    <row r="811">
      <c r="A811" s="84"/>
    </row>
    <row r="812">
      <c r="A812" s="84"/>
    </row>
    <row r="813">
      <c r="A813" s="84"/>
    </row>
    <row r="814">
      <c r="A814" s="84"/>
    </row>
    <row r="815">
      <c r="A815" s="84"/>
    </row>
    <row r="816">
      <c r="A816" s="84"/>
    </row>
    <row r="817">
      <c r="A817" s="84"/>
    </row>
    <row r="818">
      <c r="A818" s="84"/>
    </row>
    <row r="819">
      <c r="A819" s="84"/>
    </row>
    <row r="820">
      <c r="A820" s="84"/>
    </row>
    <row r="821">
      <c r="A821" s="84"/>
    </row>
    <row r="822">
      <c r="A822" s="84"/>
    </row>
    <row r="823">
      <c r="A823" s="84"/>
    </row>
    <row r="824">
      <c r="A824" s="84"/>
    </row>
    <row r="825">
      <c r="A825" s="84"/>
    </row>
    <row r="826">
      <c r="A826" s="84"/>
    </row>
    <row r="827">
      <c r="A827" s="84"/>
    </row>
    <row r="828">
      <c r="A828" s="84"/>
    </row>
    <row r="829">
      <c r="A829" s="84"/>
    </row>
    <row r="830">
      <c r="A830" s="84"/>
    </row>
    <row r="831">
      <c r="A831" s="84"/>
    </row>
    <row r="832">
      <c r="A832" s="84"/>
    </row>
    <row r="833">
      <c r="A833" s="84"/>
    </row>
    <row r="834">
      <c r="A834" s="84"/>
    </row>
    <row r="835">
      <c r="A835" s="84"/>
    </row>
    <row r="836">
      <c r="A836" s="84"/>
    </row>
    <row r="837">
      <c r="A837" s="84"/>
    </row>
    <row r="838">
      <c r="A838" s="84"/>
    </row>
    <row r="839">
      <c r="A839" s="84"/>
    </row>
    <row r="840">
      <c r="A840" s="84"/>
    </row>
    <row r="841">
      <c r="A841" s="84"/>
    </row>
    <row r="842">
      <c r="A842" s="84"/>
    </row>
    <row r="843">
      <c r="A843" s="84"/>
    </row>
    <row r="844">
      <c r="A844" s="84"/>
    </row>
    <row r="845">
      <c r="A845" s="84"/>
    </row>
    <row r="846">
      <c r="A846" s="84"/>
    </row>
    <row r="847">
      <c r="A847" s="84"/>
    </row>
    <row r="848">
      <c r="A848" s="84"/>
    </row>
    <row r="849">
      <c r="A849" s="84"/>
    </row>
    <row r="850">
      <c r="A850" s="84"/>
    </row>
    <row r="851">
      <c r="A851" s="84"/>
    </row>
    <row r="852">
      <c r="A852" s="84"/>
    </row>
    <row r="853">
      <c r="A853" s="84"/>
    </row>
    <row r="854">
      <c r="A854" s="84"/>
    </row>
    <row r="855">
      <c r="A855" s="84"/>
    </row>
    <row r="856">
      <c r="A856" s="84"/>
    </row>
    <row r="857">
      <c r="A857" s="84"/>
    </row>
    <row r="858">
      <c r="A858" s="84"/>
    </row>
    <row r="859">
      <c r="A859" s="84"/>
    </row>
    <row r="860">
      <c r="A860" s="84"/>
    </row>
    <row r="861">
      <c r="A861" s="84"/>
    </row>
    <row r="862">
      <c r="A862" s="84"/>
    </row>
    <row r="863">
      <c r="A863" s="84"/>
    </row>
    <row r="864">
      <c r="A864" s="84"/>
    </row>
    <row r="865">
      <c r="A865" s="84"/>
    </row>
    <row r="866">
      <c r="A866" s="84"/>
    </row>
    <row r="867">
      <c r="A867" s="84"/>
    </row>
    <row r="868">
      <c r="A868" s="84"/>
    </row>
    <row r="869">
      <c r="A869" s="84"/>
    </row>
    <row r="870">
      <c r="A870" s="84"/>
    </row>
    <row r="871">
      <c r="A871" s="84"/>
    </row>
    <row r="872">
      <c r="A872" s="84"/>
    </row>
    <row r="873">
      <c r="A873" s="84"/>
    </row>
    <row r="874">
      <c r="A874" s="84"/>
    </row>
    <row r="875">
      <c r="A875" s="84"/>
    </row>
    <row r="876">
      <c r="A876" s="84"/>
    </row>
    <row r="877">
      <c r="A877" s="84"/>
    </row>
    <row r="878">
      <c r="A878" s="84"/>
    </row>
    <row r="879">
      <c r="A879" s="84"/>
    </row>
    <row r="880">
      <c r="A880" s="84"/>
    </row>
    <row r="881">
      <c r="A881" s="84"/>
    </row>
    <row r="882">
      <c r="A882" s="84"/>
    </row>
    <row r="883">
      <c r="A883" s="84"/>
    </row>
    <row r="884">
      <c r="A884" s="84"/>
    </row>
    <row r="885">
      <c r="A885" s="84"/>
    </row>
    <row r="886">
      <c r="A886" s="84"/>
    </row>
    <row r="887">
      <c r="A887" s="84"/>
    </row>
    <row r="888">
      <c r="A888" s="84"/>
    </row>
    <row r="889">
      <c r="A889" s="84"/>
    </row>
    <row r="890">
      <c r="A890" s="84"/>
    </row>
    <row r="891">
      <c r="A891" s="84"/>
    </row>
    <row r="892">
      <c r="A892" s="84"/>
    </row>
    <row r="893">
      <c r="A893" s="84"/>
    </row>
    <row r="894">
      <c r="A894" s="84"/>
    </row>
    <row r="895">
      <c r="A895" s="84"/>
    </row>
    <row r="896">
      <c r="A896" s="84"/>
    </row>
    <row r="897">
      <c r="A897" s="84"/>
    </row>
    <row r="898">
      <c r="A898" s="84"/>
    </row>
    <row r="899">
      <c r="A899" s="84"/>
    </row>
    <row r="900">
      <c r="A900" s="84"/>
    </row>
    <row r="901">
      <c r="A901" s="84"/>
    </row>
    <row r="902">
      <c r="A902" s="84"/>
    </row>
    <row r="903">
      <c r="A903" s="84"/>
    </row>
    <row r="904">
      <c r="A904" s="84"/>
    </row>
    <row r="905">
      <c r="A905" s="84"/>
    </row>
    <row r="906">
      <c r="A906" s="84"/>
    </row>
    <row r="907">
      <c r="A907" s="84"/>
    </row>
    <row r="908">
      <c r="A908" s="84"/>
    </row>
    <row r="909">
      <c r="A909" s="84"/>
    </row>
    <row r="910">
      <c r="A910" s="84"/>
    </row>
    <row r="911">
      <c r="A911" s="84"/>
    </row>
    <row r="912">
      <c r="A912" s="84"/>
    </row>
    <row r="913">
      <c r="A913" s="84"/>
    </row>
    <row r="914">
      <c r="A914" s="84"/>
    </row>
    <row r="915">
      <c r="A915" s="84"/>
    </row>
    <row r="916">
      <c r="A916" s="84"/>
    </row>
    <row r="917">
      <c r="A917" s="84"/>
    </row>
    <row r="918">
      <c r="A918" s="84"/>
    </row>
    <row r="919">
      <c r="A919" s="84"/>
    </row>
    <row r="920">
      <c r="A920" s="84"/>
    </row>
    <row r="921">
      <c r="A921" s="84"/>
    </row>
    <row r="922">
      <c r="A922" s="84"/>
    </row>
    <row r="923">
      <c r="A923" s="84"/>
    </row>
    <row r="924">
      <c r="A924" s="84"/>
    </row>
    <row r="925">
      <c r="A925" s="84"/>
    </row>
    <row r="926">
      <c r="A926" s="84"/>
    </row>
    <row r="927">
      <c r="A927" s="84"/>
    </row>
    <row r="928">
      <c r="A928" s="84"/>
    </row>
    <row r="929">
      <c r="A929" s="84"/>
    </row>
    <row r="930">
      <c r="A930" s="84"/>
    </row>
    <row r="931">
      <c r="A931" s="84"/>
    </row>
    <row r="932">
      <c r="A932" s="84"/>
    </row>
    <row r="933">
      <c r="A933" s="84"/>
    </row>
    <row r="934">
      <c r="A934" s="84"/>
    </row>
    <row r="935">
      <c r="A935" s="84"/>
    </row>
    <row r="936">
      <c r="A936" s="84"/>
    </row>
    <row r="937">
      <c r="A937" s="84"/>
    </row>
    <row r="938">
      <c r="A938" s="84"/>
    </row>
    <row r="939">
      <c r="A939" s="84"/>
    </row>
    <row r="940">
      <c r="A940" s="84"/>
    </row>
    <row r="941">
      <c r="A941" s="84"/>
    </row>
    <row r="942">
      <c r="A942" s="84"/>
    </row>
    <row r="943">
      <c r="A943" s="84"/>
    </row>
    <row r="944">
      <c r="A944" s="84"/>
    </row>
    <row r="945">
      <c r="A945" s="84"/>
    </row>
    <row r="946">
      <c r="A946" s="84"/>
    </row>
    <row r="947">
      <c r="A947" s="84"/>
    </row>
    <row r="948">
      <c r="A948" s="84"/>
    </row>
    <row r="949">
      <c r="A949" s="84"/>
    </row>
    <row r="950">
      <c r="A950" s="84"/>
    </row>
    <row r="951">
      <c r="A951" s="84"/>
    </row>
    <row r="952">
      <c r="A952" s="84"/>
    </row>
    <row r="953">
      <c r="A953" s="84"/>
    </row>
    <row r="954">
      <c r="A954" s="84"/>
    </row>
    <row r="955">
      <c r="A955" s="84"/>
    </row>
    <row r="956">
      <c r="A956" s="84"/>
    </row>
    <row r="957">
      <c r="A957" s="84"/>
    </row>
    <row r="958">
      <c r="A958" s="84"/>
    </row>
    <row r="959">
      <c r="A959" s="84"/>
    </row>
    <row r="960">
      <c r="A960" s="84"/>
    </row>
    <row r="961">
      <c r="A961" s="84"/>
    </row>
    <row r="962">
      <c r="A962" s="84"/>
    </row>
    <row r="963">
      <c r="A963" s="84"/>
    </row>
    <row r="964">
      <c r="A964" s="84"/>
    </row>
    <row r="965">
      <c r="A965" s="84"/>
    </row>
    <row r="966">
      <c r="A966" s="84"/>
    </row>
    <row r="967">
      <c r="A967" s="84"/>
    </row>
    <row r="968">
      <c r="A968" s="84"/>
    </row>
    <row r="969">
      <c r="A969" s="84"/>
    </row>
    <row r="970">
      <c r="A970" s="84"/>
    </row>
    <row r="971">
      <c r="A971" s="84"/>
    </row>
    <row r="972">
      <c r="A972" s="84"/>
    </row>
    <row r="973">
      <c r="A973" s="84"/>
    </row>
    <row r="974">
      <c r="A974" s="84"/>
    </row>
    <row r="975">
      <c r="A975" s="84"/>
    </row>
    <row r="976">
      <c r="A976" s="84"/>
    </row>
    <row r="977">
      <c r="A977" s="84"/>
    </row>
    <row r="978">
      <c r="A978" s="84"/>
    </row>
    <row r="979">
      <c r="A979" s="84"/>
    </row>
    <row r="980">
      <c r="A980" s="84"/>
    </row>
    <row r="981">
      <c r="A981" s="84"/>
    </row>
    <row r="982">
      <c r="A982" s="84"/>
    </row>
    <row r="983">
      <c r="A983" s="84"/>
    </row>
    <row r="984">
      <c r="A984" s="84"/>
    </row>
    <row r="985">
      <c r="A985" s="84"/>
    </row>
    <row r="986">
      <c r="A986" s="84"/>
    </row>
    <row r="987">
      <c r="A987" s="84"/>
    </row>
    <row r="988">
      <c r="A988" s="84"/>
    </row>
    <row r="989">
      <c r="A989" s="84"/>
    </row>
    <row r="990">
      <c r="A990" s="84"/>
    </row>
    <row r="991">
      <c r="A991" s="84"/>
    </row>
    <row r="992">
      <c r="A992" s="84"/>
    </row>
    <row r="993">
      <c r="A993" s="84"/>
    </row>
    <row r="994">
      <c r="A994" s="84"/>
    </row>
    <row r="995">
      <c r="A995" s="84"/>
    </row>
    <row r="996">
      <c r="A996" s="84"/>
    </row>
    <row r="997">
      <c r="A997" s="84"/>
    </row>
    <row r="998">
      <c r="A998" s="84"/>
    </row>
    <row r="999">
      <c r="A999" s="84"/>
    </row>
    <row r="1000">
      <c r="A1000" s="84"/>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88"/>
    <col customWidth="1" min="2" max="2" width="18.25"/>
    <col customWidth="1" min="3" max="3" width="14.5"/>
    <col customWidth="1" min="4" max="4" width="15.13"/>
    <col customWidth="1" min="5" max="5" width="14.25"/>
    <col customWidth="1" min="6" max="6" width="16.25"/>
  </cols>
  <sheetData>
    <row r="1">
      <c r="A1" s="15" t="s">
        <v>28</v>
      </c>
      <c r="B1" s="17"/>
      <c r="C1" s="17"/>
      <c r="D1" s="17"/>
      <c r="E1" s="19"/>
    </row>
    <row r="2">
      <c r="A2" s="22" t="s">
        <v>45</v>
      </c>
      <c r="B2" s="22" t="s">
        <v>66</v>
      </c>
      <c r="C2" s="22" t="s">
        <v>68</v>
      </c>
      <c r="D2" s="22" t="s">
        <v>69</v>
      </c>
      <c r="E2" s="22" t="s">
        <v>70</v>
      </c>
    </row>
    <row r="3">
      <c r="A3" s="22" t="s">
        <v>71</v>
      </c>
      <c r="B3" s="22" t="s">
        <v>73</v>
      </c>
      <c r="C3" s="22" t="s">
        <v>74</v>
      </c>
      <c r="D3" s="22" t="s">
        <v>75</v>
      </c>
      <c r="E3" s="22" t="s">
        <v>77</v>
      </c>
    </row>
    <row r="4">
      <c r="A4" s="22" t="s">
        <v>79</v>
      </c>
      <c r="B4" s="22" t="s">
        <v>80</v>
      </c>
      <c r="C4" s="22" t="s">
        <v>81</v>
      </c>
      <c r="D4" s="22" t="s">
        <v>82</v>
      </c>
      <c r="E4" s="22" t="s">
        <v>83</v>
      </c>
    </row>
    <row r="5">
      <c r="A5" s="22" t="s">
        <v>85</v>
      </c>
      <c r="B5" s="22" t="s">
        <v>86</v>
      </c>
      <c r="C5" s="22" t="s">
        <v>87</v>
      </c>
      <c r="D5" s="22" t="s">
        <v>88</v>
      </c>
      <c r="E5" s="22" t="s">
        <v>89</v>
      </c>
    </row>
    <row r="6">
      <c r="A6" s="22" t="s">
        <v>90</v>
      </c>
      <c r="B6" s="22" t="s">
        <v>91</v>
      </c>
      <c r="C6" s="22" t="s">
        <v>92</v>
      </c>
      <c r="D6" s="22" t="s">
        <v>94</v>
      </c>
      <c r="E6" s="22" t="s">
        <v>95</v>
      </c>
    </row>
    <row r="7">
      <c r="A7" s="22" t="s">
        <v>96</v>
      </c>
      <c r="B7" s="22" t="s">
        <v>98</v>
      </c>
      <c r="C7" s="22" t="s">
        <v>100</v>
      </c>
      <c r="D7" s="22" t="s">
        <v>101</v>
      </c>
      <c r="E7" s="22" t="s">
        <v>102</v>
      </c>
    </row>
    <row r="13" ht="22.5" customHeight="1">
      <c r="A13" s="30" t="s">
        <v>104</v>
      </c>
      <c r="B13" s="30" t="s">
        <v>109</v>
      </c>
      <c r="C13" s="30" t="s">
        <v>112</v>
      </c>
      <c r="D13" s="30" t="s">
        <v>115</v>
      </c>
      <c r="E13" s="30" t="s">
        <v>117</v>
      </c>
      <c r="F13" s="30" t="s">
        <v>118</v>
      </c>
    </row>
    <row r="14" ht="22.5" customHeight="1">
      <c r="A14" s="34" t="s">
        <v>45</v>
      </c>
      <c r="B14" s="34" t="s">
        <v>86</v>
      </c>
      <c r="C14" s="34" t="s">
        <v>79</v>
      </c>
      <c r="D14" s="34" t="s">
        <v>91</v>
      </c>
      <c r="E14" s="34" t="s">
        <v>71</v>
      </c>
      <c r="F14" s="34" t="s">
        <v>96</v>
      </c>
    </row>
    <row r="15" ht="22.5" customHeight="1">
      <c r="A15" s="34" t="s">
        <v>68</v>
      </c>
      <c r="B15" s="34" t="s">
        <v>144</v>
      </c>
      <c r="C15" s="34" t="s">
        <v>80</v>
      </c>
      <c r="D15" s="34" t="s">
        <v>95</v>
      </c>
      <c r="E15" s="34" t="s">
        <v>73</v>
      </c>
      <c r="F15" s="34" t="s">
        <v>153</v>
      </c>
    </row>
    <row r="16" ht="22.5" customHeight="1">
      <c r="A16" s="34" t="s">
        <v>69</v>
      </c>
      <c r="B16" s="34" t="s">
        <v>85</v>
      </c>
      <c r="C16" s="34" t="s">
        <v>83</v>
      </c>
      <c r="D16" s="34" t="s">
        <v>172</v>
      </c>
      <c r="E16" s="34" t="s">
        <v>177</v>
      </c>
      <c r="F16" s="34" t="s">
        <v>180</v>
      </c>
    </row>
    <row r="17" ht="22.5" customHeight="1">
      <c r="A17" s="34" t="s">
        <v>181</v>
      </c>
      <c r="B17" s="34" t="s">
        <v>185</v>
      </c>
      <c r="C17" s="34" t="s">
        <v>189</v>
      </c>
      <c r="D17" s="34" t="s">
        <v>94</v>
      </c>
      <c r="E17" s="34" t="s">
        <v>197</v>
      </c>
      <c r="F17" s="34" t="s">
        <v>213</v>
      </c>
    </row>
    <row r="18" ht="22.5" customHeight="1">
      <c r="A18" s="34" t="s">
        <v>216</v>
      </c>
      <c r="B18" s="34" t="s">
        <v>217</v>
      </c>
      <c r="C18" s="34" t="s">
        <v>138</v>
      </c>
      <c r="D18" s="34" t="s">
        <v>90</v>
      </c>
      <c r="E18" s="34" t="s">
        <v>77</v>
      </c>
      <c r="F18" s="34" t="s">
        <v>220</v>
      </c>
    </row>
    <row r="19" ht="22.5" customHeight="1">
      <c r="A19" s="34" t="s">
        <v>224</v>
      </c>
      <c r="B19" s="34" t="s">
        <v>228</v>
      </c>
      <c r="C19" s="34" t="s">
        <v>234</v>
      </c>
      <c r="D19" s="34" t="s">
        <v>92</v>
      </c>
      <c r="E19" s="34" t="s">
        <v>239</v>
      </c>
      <c r="F19" s="34" t="s">
        <v>161</v>
      </c>
    </row>
    <row r="20" ht="22.5" customHeight="1">
      <c r="A20" s="34" t="s">
        <v>241</v>
      </c>
      <c r="B20" s="34" t="s">
        <v>88</v>
      </c>
      <c r="C20" s="34" t="s">
        <v>243</v>
      </c>
      <c r="D20" s="34" t="s">
        <v>245</v>
      </c>
      <c r="E20" s="34" t="s">
        <v>126</v>
      </c>
      <c r="F20" s="34" t="s">
        <v>98</v>
      </c>
    </row>
    <row r="21" ht="22.5" customHeight="1">
      <c r="A21" s="34" t="s">
        <v>248</v>
      </c>
      <c r="B21" s="34" t="s">
        <v>87</v>
      </c>
      <c r="C21" s="34" t="s">
        <v>250</v>
      </c>
      <c r="D21" s="34" t="s">
        <v>251</v>
      </c>
      <c r="E21" s="34" t="s">
        <v>74</v>
      </c>
      <c r="F21" s="34" t="s">
        <v>100</v>
      </c>
    </row>
    <row r="22" ht="22.5" customHeight="1">
      <c r="A22" s="34" t="s">
        <v>70</v>
      </c>
      <c r="B22" s="34" t="s">
        <v>89</v>
      </c>
      <c r="C22" s="34" t="s">
        <v>253</v>
      </c>
      <c r="D22" s="34" t="s">
        <v>254</v>
      </c>
      <c r="E22" s="34" t="s">
        <v>255</v>
      </c>
      <c r="F22" s="34" t="s">
        <v>256</v>
      </c>
    </row>
    <row r="23" ht="22.5" customHeight="1">
      <c r="A23" s="34" t="s">
        <v>258</v>
      </c>
      <c r="B23" s="34" t="s">
        <v>259</v>
      </c>
      <c r="C23" s="34" t="s">
        <v>261</v>
      </c>
      <c r="D23" s="34" t="s">
        <v>263</v>
      </c>
      <c r="E23" s="34" t="s">
        <v>264</v>
      </c>
      <c r="F23" s="34" t="s">
        <v>266</v>
      </c>
    </row>
    <row r="24" ht="22.5" customHeight="1">
      <c r="A24" s="34" t="s">
        <v>268</v>
      </c>
      <c r="B24" s="34" t="s">
        <v>269</v>
      </c>
      <c r="C24" s="34" t="s">
        <v>271</v>
      </c>
      <c r="D24" s="34" t="s">
        <v>272</v>
      </c>
      <c r="E24" s="34" t="s">
        <v>273</v>
      </c>
      <c r="F24" s="34" t="s">
        <v>274</v>
      </c>
    </row>
    <row r="25" ht="22.5" customHeight="1">
      <c r="A25" s="34" t="s">
        <v>275</v>
      </c>
      <c r="B25" s="34" t="s">
        <v>276</v>
      </c>
      <c r="C25" s="34" t="s">
        <v>81</v>
      </c>
      <c r="D25" s="34" t="s">
        <v>277</v>
      </c>
      <c r="E25" s="34" t="s">
        <v>278</v>
      </c>
      <c r="F25" s="34" t="s">
        <v>279</v>
      </c>
    </row>
    <row r="26" ht="22.5" customHeight="1">
      <c r="A26" s="34" t="s">
        <v>280</v>
      </c>
      <c r="B26" s="34" t="s">
        <v>282</v>
      </c>
      <c r="C26" s="34" t="s">
        <v>283</v>
      </c>
      <c r="D26" s="34" t="s">
        <v>284</v>
      </c>
      <c r="E26" s="34" t="s">
        <v>285</v>
      </c>
      <c r="F26" s="34" t="s">
        <v>102</v>
      </c>
    </row>
    <row r="27" ht="22.5" customHeight="1">
      <c r="A27" s="34" t="s">
        <v>288</v>
      </c>
      <c r="B27" s="34" t="s">
        <v>289</v>
      </c>
      <c r="C27" s="34" t="s">
        <v>290</v>
      </c>
      <c r="D27" s="34" t="s">
        <v>291</v>
      </c>
      <c r="E27" s="34" t="s">
        <v>292</v>
      </c>
      <c r="F27" s="34" t="s">
        <v>101</v>
      </c>
    </row>
    <row r="28" ht="22.5" customHeight="1">
      <c r="A28" s="34" t="s">
        <v>257</v>
      </c>
      <c r="B28" s="34" t="s">
        <v>294</v>
      </c>
      <c r="C28" s="34" t="s">
        <v>295</v>
      </c>
      <c r="D28" s="34" t="s">
        <v>297</v>
      </c>
      <c r="E28" s="34" t="s">
        <v>298</v>
      </c>
      <c r="F28" s="34" t="s">
        <v>300</v>
      </c>
    </row>
    <row r="29" ht="22.5" customHeight="1">
      <c r="A29" s="34" t="s">
        <v>181</v>
      </c>
      <c r="B29" s="34" t="s">
        <v>302</v>
      </c>
      <c r="C29" s="34" t="s">
        <v>82</v>
      </c>
      <c r="D29" s="34" t="s">
        <v>303</v>
      </c>
      <c r="E29" s="34" t="s">
        <v>75</v>
      </c>
      <c r="F29" s="34" t="s">
        <v>304</v>
      </c>
    </row>
    <row r="33">
      <c r="A33" s="61" t="s">
        <v>306</v>
      </c>
    </row>
    <row r="34">
      <c r="A34" s="62" t="s">
        <v>307</v>
      </c>
      <c r="B34" s="62" t="s">
        <v>308</v>
      </c>
    </row>
    <row r="35">
      <c r="A35" s="62" t="s">
        <v>310</v>
      </c>
    </row>
    <row r="36">
      <c r="A36" s="62" t="s">
        <v>280</v>
      </c>
      <c r="B36" s="62" t="s">
        <v>311</v>
      </c>
    </row>
    <row r="37">
      <c r="A37" s="62" t="s">
        <v>181</v>
      </c>
      <c r="B37" s="62" t="s">
        <v>311</v>
      </c>
    </row>
  </sheetData>
  <mergeCells count="3">
    <mergeCell ref="A1:E1"/>
    <mergeCell ref="A33:B33"/>
    <mergeCell ref="B34:B35"/>
  </mergeCell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13"/>
    <col customWidth="1" min="2" max="2" width="20.63"/>
    <col customWidth="1" min="7" max="7" width="3.25"/>
    <col customWidth="1" min="10" max="10" width="18.5"/>
  </cols>
  <sheetData>
    <row r="1">
      <c r="A1" s="3" t="s">
        <v>2</v>
      </c>
      <c r="B1" s="3" t="s">
        <v>3</v>
      </c>
      <c r="C1" s="3" t="s">
        <v>4</v>
      </c>
      <c r="D1" s="3" t="s">
        <v>5</v>
      </c>
      <c r="E1" s="3" t="s">
        <v>6</v>
      </c>
      <c r="F1" s="7" t="s">
        <v>8</v>
      </c>
      <c r="G1" s="9"/>
      <c r="H1" s="12" t="s">
        <v>11</v>
      </c>
    </row>
    <row r="2">
      <c r="A2" s="13">
        <v>1.0</v>
      </c>
      <c r="B2" s="14" t="s">
        <v>29</v>
      </c>
      <c r="C2" s="13">
        <v>7.0</v>
      </c>
      <c r="D2" s="13" t="s">
        <v>34</v>
      </c>
      <c r="E2" s="13">
        <v>2.0</v>
      </c>
      <c r="F2" s="18">
        <v>2.0</v>
      </c>
      <c r="G2" s="9"/>
      <c r="H2" s="21" t="s">
        <v>43</v>
      </c>
      <c r="I2" s="18" t="s">
        <v>48</v>
      </c>
      <c r="J2" s="18" t="s">
        <v>50</v>
      </c>
    </row>
    <row r="3">
      <c r="A3" s="13">
        <v>2.0</v>
      </c>
      <c r="B3" s="14" t="s">
        <v>55</v>
      </c>
      <c r="C3" s="13">
        <v>7.0</v>
      </c>
      <c r="D3" s="25" t="s">
        <v>72</v>
      </c>
      <c r="E3" s="13">
        <v>2.0</v>
      </c>
      <c r="F3" s="18">
        <v>3.0</v>
      </c>
      <c r="G3" s="9"/>
      <c r="H3" s="21" t="s">
        <v>99</v>
      </c>
      <c r="I3" s="27"/>
      <c r="J3" s="18" t="s">
        <v>105</v>
      </c>
    </row>
    <row r="4">
      <c r="A4" s="13">
        <v>3.0</v>
      </c>
      <c r="B4" s="14" t="s">
        <v>82</v>
      </c>
      <c r="C4" s="13">
        <v>7.0</v>
      </c>
      <c r="D4" s="25" t="s">
        <v>72</v>
      </c>
      <c r="E4" s="13">
        <v>2.0</v>
      </c>
      <c r="F4" s="18">
        <v>3.0</v>
      </c>
      <c r="G4" s="9"/>
      <c r="H4" s="21" t="s">
        <v>108</v>
      </c>
      <c r="I4" s="31"/>
      <c r="J4" s="18" t="s">
        <v>116</v>
      </c>
    </row>
    <row r="5">
      <c r="A5" s="32">
        <v>4.0</v>
      </c>
      <c r="B5" s="33" t="s">
        <v>88</v>
      </c>
      <c r="C5" s="32">
        <v>7.0</v>
      </c>
      <c r="D5" s="35" t="s">
        <v>72</v>
      </c>
      <c r="E5" s="32">
        <v>2.0</v>
      </c>
      <c r="F5" s="36">
        <v>3.0</v>
      </c>
      <c r="G5" s="9"/>
      <c r="H5" s="21" t="s">
        <v>134</v>
      </c>
      <c r="I5" s="37"/>
      <c r="J5" s="18" t="s">
        <v>139</v>
      </c>
    </row>
    <row r="6">
      <c r="A6" s="32">
        <v>5.0</v>
      </c>
      <c r="B6" s="33" t="s">
        <v>142</v>
      </c>
      <c r="C6" s="32">
        <v>7.0</v>
      </c>
      <c r="D6" s="35" t="s">
        <v>72</v>
      </c>
      <c r="E6" s="32">
        <v>2.0</v>
      </c>
      <c r="F6" s="36">
        <v>3.0</v>
      </c>
      <c r="G6" s="9"/>
      <c r="H6" s="21" t="s">
        <v>147</v>
      </c>
    </row>
    <row r="7">
      <c r="A7" s="13">
        <v>6.0</v>
      </c>
      <c r="B7" s="14" t="s">
        <v>149</v>
      </c>
      <c r="C7" s="13">
        <v>7.0</v>
      </c>
      <c r="D7" s="13" t="s">
        <v>34</v>
      </c>
      <c r="E7" s="13">
        <v>1.0</v>
      </c>
      <c r="F7" s="18">
        <v>2.0</v>
      </c>
      <c r="G7" s="9"/>
      <c r="H7" s="21" t="s">
        <v>43</v>
      </c>
    </row>
    <row r="8">
      <c r="A8" s="13">
        <v>7.0</v>
      </c>
      <c r="B8" s="14" t="s">
        <v>150</v>
      </c>
      <c r="C8" s="13">
        <v>7.0</v>
      </c>
      <c r="D8" s="25" t="s">
        <v>72</v>
      </c>
      <c r="E8" s="13">
        <v>1.0</v>
      </c>
      <c r="F8" s="18">
        <v>2.0</v>
      </c>
      <c r="G8" s="9"/>
      <c r="H8" s="21" t="s">
        <v>152</v>
      </c>
      <c r="I8" s="18" t="s">
        <v>154</v>
      </c>
      <c r="J8" s="39"/>
    </row>
    <row r="9">
      <c r="A9" s="40">
        <v>8.0</v>
      </c>
      <c r="B9" s="41" t="s">
        <v>163</v>
      </c>
      <c r="C9" s="40">
        <v>7.0</v>
      </c>
      <c r="D9" s="42" t="s">
        <v>72</v>
      </c>
      <c r="E9" s="40">
        <v>1.0</v>
      </c>
      <c r="F9" s="43">
        <v>2.0</v>
      </c>
      <c r="G9" s="9"/>
      <c r="H9" s="21" t="s">
        <v>43</v>
      </c>
      <c r="I9" s="18">
        <v>1.0</v>
      </c>
      <c r="J9" s="18" t="s">
        <v>178</v>
      </c>
      <c r="K9" s="44">
        <f>COUNTIF(G1:G201,"1")</f>
        <v>18</v>
      </c>
    </row>
    <row r="10">
      <c r="A10" s="40">
        <v>9.0</v>
      </c>
      <c r="B10" s="41" t="s">
        <v>193</v>
      </c>
      <c r="C10" s="40">
        <v>7.0</v>
      </c>
      <c r="D10" s="42" t="s">
        <v>72</v>
      </c>
      <c r="E10" s="40">
        <v>1.0</v>
      </c>
      <c r="F10" s="43">
        <v>2.0</v>
      </c>
      <c r="G10" s="46">
        <v>2.0</v>
      </c>
      <c r="H10" s="21" t="s">
        <v>134</v>
      </c>
      <c r="I10" s="18">
        <v>2.0</v>
      </c>
      <c r="J10" s="18" t="s">
        <v>199</v>
      </c>
      <c r="K10" s="44">
        <f>COUNTIF(G2:G202,"2")</f>
        <v>22</v>
      </c>
    </row>
    <row r="11">
      <c r="A11" s="13">
        <v>10.0</v>
      </c>
      <c r="B11" s="14" t="s">
        <v>209</v>
      </c>
      <c r="C11" s="13">
        <v>7.0</v>
      </c>
      <c r="D11" s="25" t="s">
        <v>72</v>
      </c>
      <c r="E11" s="13">
        <v>1.0</v>
      </c>
      <c r="F11" s="18">
        <v>2.0</v>
      </c>
      <c r="G11" s="9"/>
      <c r="H11" s="21" t="s">
        <v>43</v>
      </c>
      <c r="I11" s="18">
        <v>3.0</v>
      </c>
      <c r="J11" s="18" t="s">
        <v>214</v>
      </c>
      <c r="K11" s="44">
        <f>COUNTIF(G3:G203,"3")</f>
        <v>6</v>
      </c>
    </row>
    <row r="12">
      <c r="A12" s="13">
        <v>11.0</v>
      </c>
      <c r="B12" s="14" t="s">
        <v>218</v>
      </c>
      <c r="C12" s="13">
        <v>7.0</v>
      </c>
      <c r="D12" s="25" t="s">
        <v>72</v>
      </c>
      <c r="E12" s="13">
        <v>1.0</v>
      </c>
      <c r="F12" s="18">
        <v>1.0</v>
      </c>
      <c r="G12" s="9"/>
      <c r="H12" s="21" t="s">
        <v>152</v>
      </c>
    </row>
    <row r="13">
      <c r="A13" s="49">
        <v>12.0</v>
      </c>
      <c r="B13" s="51" t="s">
        <v>85</v>
      </c>
      <c r="C13" s="49">
        <v>7.0</v>
      </c>
      <c r="D13" s="53" t="s">
        <v>72</v>
      </c>
      <c r="E13" s="49">
        <v>1.0</v>
      </c>
      <c r="F13" s="54">
        <v>3.0</v>
      </c>
      <c r="G13" s="46">
        <v>2.0</v>
      </c>
      <c r="H13" s="21" t="s">
        <v>134</v>
      </c>
    </row>
    <row r="14">
      <c r="A14" s="13">
        <v>13.0</v>
      </c>
      <c r="B14" s="14" t="s">
        <v>230</v>
      </c>
      <c r="C14" s="13">
        <v>7.0</v>
      </c>
      <c r="D14" s="25" t="s">
        <v>72</v>
      </c>
      <c r="E14" s="13">
        <v>1.0</v>
      </c>
      <c r="F14" s="18">
        <v>2.0</v>
      </c>
      <c r="G14" s="9"/>
      <c r="H14" s="21" t="s">
        <v>43</v>
      </c>
    </row>
    <row r="15">
      <c r="A15" s="13">
        <v>14.0</v>
      </c>
      <c r="B15" s="14" t="s">
        <v>236</v>
      </c>
      <c r="C15" s="13">
        <v>7.0</v>
      </c>
      <c r="D15" s="25" t="s">
        <v>72</v>
      </c>
      <c r="E15" s="13">
        <v>1.0</v>
      </c>
      <c r="F15" s="18">
        <v>2.0</v>
      </c>
      <c r="G15" s="9"/>
      <c r="H15" s="21" t="s">
        <v>152</v>
      </c>
    </row>
    <row r="16">
      <c r="A16" s="13">
        <v>15.0</v>
      </c>
      <c r="B16" s="14" t="s">
        <v>240</v>
      </c>
      <c r="C16" s="13">
        <v>7.0</v>
      </c>
      <c r="D16" s="25" t="s">
        <v>72</v>
      </c>
      <c r="E16" s="13">
        <v>1.0</v>
      </c>
      <c r="F16" s="18">
        <v>2.0</v>
      </c>
      <c r="G16" s="9"/>
      <c r="H16" s="21" t="s">
        <v>43</v>
      </c>
    </row>
    <row r="17">
      <c r="A17" s="13">
        <v>16.0</v>
      </c>
      <c r="B17" s="14" t="s">
        <v>241</v>
      </c>
      <c r="C17" s="13">
        <v>7.0</v>
      </c>
      <c r="D17" s="25" t="s">
        <v>72</v>
      </c>
      <c r="E17" s="13">
        <v>1.0</v>
      </c>
      <c r="F17" s="18">
        <v>1.0</v>
      </c>
      <c r="G17" s="9"/>
      <c r="H17" s="21" t="s">
        <v>147</v>
      </c>
    </row>
    <row r="18">
      <c r="A18" s="40">
        <v>17.0</v>
      </c>
      <c r="B18" s="41" t="s">
        <v>242</v>
      </c>
      <c r="C18" s="40">
        <v>7.0</v>
      </c>
      <c r="D18" s="42" t="s">
        <v>72</v>
      </c>
      <c r="E18" s="40">
        <v>1.0</v>
      </c>
      <c r="F18" s="43">
        <v>3.0</v>
      </c>
      <c r="G18" s="46">
        <v>2.0</v>
      </c>
      <c r="H18" s="21" t="s">
        <v>99</v>
      </c>
    </row>
    <row r="19">
      <c r="A19" s="13">
        <v>18.0</v>
      </c>
      <c r="B19" s="14" t="s">
        <v>244</v>
      </c>
      <c r="C19" s="13">
        <v>7.0</v>
      </c>
      <c r="D19" s="25" t="s">
        <v>72</v>
      </c>
      <c r="E19" s="13">
        <v>1.0</v>
      </c>
      <c r="F19" s="18">
        <v>1.0</v>
      </c>
      <c r="G19" s="9"/>
      <c r="H19" s="21" t="s">
        <v>152</v>
      </c>
    </row>
    <row r="20">
      <c r="A20" s="13">
        <v>19.0</v>
      </c>
      <c r="B20" s="14" t="s">
        <v>246</v>
      </c>
      <c r="C20" s="13">
        <v>7.0</v>
      </c>
      <c r="D20" s="25" t="s">
        <v>72</v>
      </c>
      <c r="E20" s="13">
        <v>1.0</v>
      </c>
      <c r="F20" s="18">
        <v>1.0</v>
      </c>
      <c r="G20" s="9"/>
      <c r="H20" s="21" t="s">
        <v>43</v>
      </c>
    </row>
    <row r="21">
      <c r="A21" s="13">
        <v>20.0</v>
      </c>
      <c r="B21" s="14" t="s">
        <v>247</v>
      </c>
      <c r="C21" s="13">
        <v>7.0</v>
      </c>
      <c r="D21" s="25" t="s">
        <v>72</v>
      </c>
      <c r="E21" s="13">
        <v>1.0</v>
      </c>
      <c r="F21" s="18">
        <v>1.0</v>
      </c>
      <c r="G21" s="9"/>
      <c r="H21" s="21" t="s">
        <v>152</v>
      </c>
    </row>
    <row r="22">
      <c r="A22" s="13">
        <v>21.0</v>
      </c>
      <c r="B22" s="14" t="s">
        <v>249</v>
      </c>
      <c r="C22" s="13">
        <v>7.0</v>
      </c>
      <c r="D22" s="25" t="s">
        <v>72</v>
      </c>
      <c r="E22" s="13">
        <v>1.0</v>
      </c>
      <c r="F22" s="18">
        <v>1.0</v>
      </c>
      <c r="G22" s="9"/>
      <c r="H22" s="21" t="s">
        <v>99</v>
      </c>
    </row>
    <row r="23">
      <c r="A23" s="13">
        <v>22.0</v>
      </c>
      <c r="B23" s="14" t="s">
        <v>252</v>
      </c>
      <c r="C23" s="13">
        <v>7.0</v>
      </c>
      <c r="D23" s="25" t="s">
        <v>72</v>
      </c>
      <c r="E23" s="13">
        <v>1.0</v>
      </c>
      <c r="F23" s="18">
        <v>1.0</v>
      </c>
      <c r="G23" s="9"/>
      <c r="H23" s="21" t="s">
        <v>152</v>
      </c>
    </row>
    <row r="24">
      <c r="A24" s="13">
        <v>23.0</v>
      </c>
      <c r="B24" s="14" t="s">
        <v>213</v>
      </c>
      <c r="C24" s="13">
        <v>7.0</v>
      </c>
      <c r="D24" s="25" t="s">
        <v>72</v>
      </c>
      <c r="E24" s="13">
        <v>1.0</v>
      </c>
      <c r="F24" s="18">
        <v>1.0</v>
      </c>
      <c r="G24" s="9"/>
      <c r="H24" s="21" t="s">
        <v>99</v>
      </c>
    </row>
    <row r="25">
      <c r="A25" s="13">
        <v>24.0</v>
      </c>
      <c r="B25" s="14" t="s">
        <v>256</v>
      </c>
      <c r="C25" s="13">
        <v>7.0</v>
      </c>
      <c r="D25" s="25" t="s">
        <v>72</v>
      </c>
      <c r="E25" s="13">
        <v>1.0</v>
      </c>
      <c r="F25" s="18">
        <v>1.0</v>
      </c>
      <c r="G25" s="9"/>
      <c r="H25" s="21" t="s">
        <v>99</v>
      </c>
    </row>
    <row r="26">
      <c r="A26" s="13">
        <v>25.0</v>
      </c>
      <c r="B26" s="14" t="s">
        <v>257</v>
      </c>
      <c r="C26" s="13">
        <v>7.0</v>
      </c>
      <c r="D26" s="25" t="s">
        <v>72</v>
      </c>
      <c r="E26" s="13">
        <v>1.0</v>
      </c>
      <c r="F26" s="18">
        <v>2.0</v>
      </c>
      <c r="G26" s="9"/>
      <c r="H26" s="21" t="s">
        <v>147</v>
      </c>
    </row>
    <row r="27">
      <c r="A27" s="13">
        <v>26.0</v>
      </c>
      <c r="B27" s="14" t="s">
        <v>260</v>
      </c>
      <c r="C27" s="13">
        <v>7.0</v>
      </c>
      <c r="D27" s="25" t="s">
        <v>72</v>
      </c>
      <c r="E27" s="13">
        <v>1.0</v>
      </c>
      <c r="F27" s="18">
        <v>2.0</v>
      </c>
      <c r="G27" s="9"/>
      <c r="H27" s="21" t="s">
        <v>152</v>
      </c>
    </row>
    <row r="28">
      <c r="A28" s="13">
        <v>27.0</v>
      </c>
      <c r="B28" s="14" t="s">
        <v>262</v>
      </c>
      <c r="C28" s="13">
        <v>7.0</v>
      </c>
      <c r="D28" s="25" t="s">
        <v>72</v>
      </c>
      <c r="E28" s="13">
        <v>1.0</v>
      </c>
      <c r="F28" s="18">
        <v>2.0</v>
      </c>
      <c r="G28" s="9"/>
      <c r="H28" s="21" t="s">
        <v>99</v>
      </c>
    </row>
    <row r="29">
      <c r="A29" s="13">
        <v>28.0</v>
      </c>
      <c r="B29" s="14" t="s">
        <v>265</v>
      </c>
      <c r="C29" s="13">
        <v>7.0</v>
      </c>
      <c r="D29" s="25" t="s">
        <v>72</v>
      </c>
      <c r="E29" s="13">
        <v>1.0</v>
      </c>
      <c r="F29" s="18">
        <v>2.0</v>
      </c>
      <c r="G29" s="9"/>
      <c r="H29" s="21" t="s">
        <v>134</v>
      </c>
    </row>
    <row r="30">
      <c r="A30" s="13">
        <v>29.0</v>
      </c>
      <c r="B30" s="14" t="s">
        <v>267</v>
      </c>
      <c r="C30" s="13">
        <v>7.0</v>
      </c>
      <c r="D30" s="25" t="s">
        <v>72</v>
      </c>
      <c r="E30" s="13">
        <v>1.0</v>
      </c>
      <c r="F30" s="18">
        <v>3.0</v>
      </c>
      <c r="G30" s="9"/>
      <c r="H30" s="21" t="s">
        <v>147</v>
      </c>
    </row>
    <row r="31">
      <c r="A31" s="13">
        <v>30.0</v>
      </c>
      <c r="B31" s="14" t="s">
        <v>270</v>
      </c>
      <c r="C31" s="13">
        <v>7.0</v>
      </c>
      <c r="D31" s="25" t="s">
        <v>72</v>
      </c>
      <c r="E31" s="13">
        <v>1.0</v>
      </c>
      <c r="F31" s="18">
        <v>2.0</v>
      </c>
      <c r="G31" s="9"/>
      <c r="H31" s="21" t="s">
        <v>43</v>
      </c>
    </row>
    <row r="32">
      <c r="A32" s="55">
        <v>31.0</v>
      </c>
      <c r="B32" s="56" t="s">
        <v>70</v>
      </c>
      <c r="C32" s="55">
        <v>7.0</v>
      </c>
      <c r="D32" s="57" t="s">
        <v>72</v>
      </c>
      <c r="E32" s="55">
        <v>1.0</v>
      </c>
      <c r="F32" s="58">
        <v>3.0</v>
      </c>
      <c r="G32" s="46">
        <v>2.0</v>
      </c>
      <c r="H32" s="21" t="s">
        <v>147</v>
      </c>
    </row>
    <row r="33">
      <c r="A33" s="55">
        <v>32.0</v>
      </c>
      <c r="B33" s="56" t="s">
        <v>281</v>
      </c>
      <c r="C33" s="55">
        <v>7.0</v>
      </c>
      <c r="D33" s="57" t="s">
        <v>72</v>
      </c>
      <c r="E33" s="55">
        <v>1.0</v>
      </c>
      <c r="F33" s="58">
        <v>2.0</v>
      </c>
      <c r="G33" s="46">
        <v>2.0</v>
      </c>
      <c r="H33" s="21" t="s">
        <v>108</v>
      </c>
    </row>
    <row r="34">
      <c r="A34" s="59">
        <v>33.0</v>
      </c>
      <c r="B34" s="14" t="s">
        <v>45</v>
      </c>
      <c r="C34" s="13">
        <v>6.0</v>
      </c>
      <c r="D34" s="13" t="s">
        <v>34</v>
      </c>
      <c r="E34" s="13">
        <v>5.0</v>
      </c>
      <c r="F34" s="18">
        <v>5.0</v>
      </c>
      <c r="G34" s="9"/>
      <c r="H34" s="21" t="s">
        <v>147</v>
      </c>
    </row>
    <row r="35">
      <c r="A35" s="59">
        <v>34.0</v>
      </c>
      <c r="B35" s="14" t="s">
        <v>79</v>
      </c>
      <c r="C35" s="13">
        <v>6.0</v>
      </c>
      <c r="D35" s="13" t="s">
        <v>34</v>
      </c>
      <c r="E35" s="13">
        <v>5.0</v>
      </c>
      <c r="F35" s="18">
        <v>5.0</v>
      </c>
      <c r="G35" s="9"/>
      <c r="H35" s="21" t="s">
        <v>108</v>
      </c>
    </row>
    <row r="36">
      <c r="A36" s="59">
        <v>35.0</v>
      </c>
      <c r="B36" s="14" t="s">
        <v>286</v>
      </c>
      <c r="C36" s="13">
        <v>6.0</v>
      </c>
      <c r="D36" s="13" t="s">
        <v>34</v>
      </c>
      <c r="E36" s="13">
        <v>4.0</v>
      </c>
      <c r="F36" s="18">
        <v>4.0</v>
      </c>
      <c r="G36" s="9"/>
      <c r="H36" s="21" t="s">
        <v>43</v>
      </c>
    </row>
    <row r="37">
      <c r="A37" s="59">
        <v>36.0</v>
      </c>
      <c r="B37" s="14" t="s">
        <v>287</v>
      </c>
      <c r="C37" s="13">
        <v>6.0</v>
      </c>
      <c r="D37" s="13" t="s">
        <v>34</v>
      </c>
      <c r="E37" s="13">
        <v>4.0</v>
      </c>
      <c r="F37" s="18">
        <v>4.0</v>
      </c>
      <c r="G37" s="9"/>
      <c r="H37" s="21" t="s">
        <v>43</v>
      </c>
    </row>
    <row r="38">
      <c r="A38" s="59">
        <v>37.0</v>
      </c>
      <c r="B38" s="14" t="s">
        <v>85</v>
      </c>
      <c r="C38" s="13">
        <v>6.0</v>
      </c>
      <c r="D38" s="13" t="s">
        <v>34</v>
      </c>
      <c r="E38" s="13">
        <v>4.0</v>
      </c>
      <c r="F38" s="18">
        <v>4.0</v>
      </c>
      <c r="G38" s="9"/>
      <c r="H38" s="21" t="s">
        <v>134</v>
      </c>
    </row>
    <row r="39">
      <c r="A39" s="59">
        <v>38.0</v>
      </c>
      <c r="B39" s="14" t="s">
        <v>267</v>
      </c>
      <c r="C39" s="13">
        <v>6.0</v>
      </c>
      <c r="D39" s="13" t="s">
        <v>34</v>
      </c>
      <c r="E39" s="13">
        <v>4.0</v>
      </c>
      <c r="F39" s="18">
        <v>4.0</v>
      </c>
      <c r="G39" s="9"/>
      <c r="H39" s="21" t="s">
        <v>147</v>
      </c>
    </row>
    <row r="40">
      <c r="A40" s="59">
        <v>39.0</v>
      </c>
      <c r="B40" s="14" t="s">
        <v>153</v>
      </c>
      <c r="C40" s="13">
        <v>6.0</v>
      </c>
      <c r="D40" s="13" t="s">
        <v>34</v>
      </c>
      <c r="E40" s="13">
        <v>4.0</v>
      </c>
      <c r="F40" s="18">
        <v>4.0</v>
      </c>
      <c r="G40" s="9"/>
      <c r="H40" s="21" t="s">
        <v>99</v>
      </c>
    </row>
    <row r="41">
      <c r="A41" s="59">
        <v>40.0</v>
      </c>
      <c r="B41" s="14" t="s">
        <v>293</v>
      </c>
      <c r="C41" s="13">
        <v>6.0</v>
      </c>
      <c r="D41" s="13" t="s">
        <v>34</v>
      </c>
      <c r="E41" s="13">
        <v>4.0</v>
      </c>
      <c r="F41" s="18">
        <v>4.0</v>
      </c>
      <c r="G41" s="9"/>
      <c r="H41" s="21" t="s">
        <v>43</v>
      </c>
    </row>
    <row r="42">
      <c r="A42" s="59">
        <v>41.0</v>
      </c>
      <c r="B42" s="14" t="s">
        <v>81</v>
      </c>
      <c r="C42" s="13">
        <v>6.0</v>
      </c>
      <c r="D42" s="25" t="s">
        <v>72</v>
      </c>
      <c r="E42" s="13">
        <v>5.0</v>
      </c>
      <c r="F42" s="18">
        <v>5.0</v>
      </c>
      <c r="G42" s="9"/>
      <c r="H42" s="21" t="s">
        <v>108</v>
      </c>
    </row>
    <row r="43">
      <c r="A43" s="60">
        <v>42.0</v>
      </c>
      <c r="B43" s="51" t="s">
        <v>296</v>
      </c>
      <c r="C43" s="49">
        <v>6.0</v>
      </c>
      <c r="D43" s="49" t="s">
        <v>34</v>
      </c>
      <c r="E43" s="49">
        <v>4.0</v>
      </c>
      <c r="F43" s="54">
        <v>5.0</v>
      </c>
      <c r="G43" s="46">
        <v>1.0</v>
      </c>
      <c r="H43" s="21" t="s">
        <v>134</v>
      </c>
      <c r="I43" s="18">
        <v>1.0</v>
      </c>
      <c r="J43" s="18" t="s">
        <v>178</v>
      </c>
    </row>
    <row r="44">
      <c r="A44" s="59">
        <v>43.0</v>
      </c>
      <c r="B44" s="14" t="s">
        <v>299</v>
      </c>
      <c r="C44" s="13">
        <v>6.0</v>
      </c>
      <c r="D44" s="13" t="s">
        <v>34</v>
      </c>
      <c r="E44" s="13">
        <v>4.0</v>
      </c>
      <c r="F44" s="18">
        <v>4.0</v>
      </c>
      <c r="G44" s="9"/>
      <c r="H44" s="21" t="s">
        <v>43</v>
      </c>
    </row>
    <row r="45">
      <c r="A45" s="59">
        <v>44.0</v>
      </c>
      <c r="B45" s="14" t="s">
        <v>301</v>
      </c>
      <c r="C45" s="13">
        <v>6.0</v>
      </c>
      <c r="D45" s="13" t="s">
        <v>34</v>
      </c>
      <c r="E45" s="13">
        <v>3.0</v>
      </c>
      <c r="F45" s="18">
        <v>4.0</v>
      </c>
      <c r="G45" s="9"/>
      <c r="H45" s="21" t="s">
        <v>108</v>
      </c>
    </row>
    <row r="46">
      <c r="A46" s="59">
        <v>45.0</v>
      </c>
      <c r="B46" s="14" t="s">
        <v>88</v>
      </c>
      <c r="C46" s="13">
        <v>6.0</v>
      </c>
      <c r="D46" s="13" t="s">
        <v>34</v>
      </c>
      <c r="E46" s="13">
        <v>3.0</v>
      </c>
      <c r="F46" s="18">
        <v>4.0</v>
      </c>
      <c r="G46" s="9"/>
      <c r="H46" s="21" t="s">
        <v>134</v>
      </c>
    </row>
    <row r="47">
      <c r="A47" s="59">
        <v>46.0</v>
      </c>
      <c r="B47" s="14" t="s">
        <v>150</v>
      </c>
      <c r="C47" s="13">
        <v>6.0</v>
      </c>
      <c r="D47" s="13" t="s">
        <v>34</v>
      </c>
      <c r="E47" s="13">
        <v>2.0</v>
      </c>
      <c r="F47" s="18">
        <v>4.0</v>
      </c>
      <c r="G47" s="9"/>
      <c r="H47" s="21" t="s">
        <v>152</v>
      </c>
    </row>
    <row r="48">
      <c r="A48" s="59">
        <v>47.0</v>
      </c>
      <c r="B48" s="14" t="s">
        <v>305</v>
      </c>
      <c r="C48" s="13">
        <v>6.0</v>
      </c>
      <c r="D48" s="25" t="s">
        <v>72</v>
      </c>
      <c r="E48" s="13">
        <v>3.0</v>
      </c>
      <c r="F48" s="18">
        <v>4.0</v>
      </c>
      <c r="G48" s="9"/>
      <c r="H48" s="21" t="s">
        <v>147</v>
      </c>
    </row>
    <row r="49">
      <c r="A49" s="60">
        <v>48.0</v>
      </c>
      <c r="B49" s="51" t="s">
        <v>71</v>
      </c>
      <c r="C49" s="49">
        <v>6.0</v>
      </c>
      <c r="D49" s="49" t="s">
        <v>34</v>
      </c>
      <c r="E49" s="49">
        <v>3.0</v>
      </c>
      <c r="F49" s="54">
        <v>5.0</v>
      </c>
      <c r="G49" s="46">
        <v>1.0</v>
      </c>
      <c r="H49" s="21" t="s">
        <v>152</v>
      </c>
    </row>
    <row r="50">
      <c r="A50" s="59">
        <v>49.0</v>
      </c>
      <c r="B50" s="14" t="s">
        <v>309</v>
      </c>
      <c r="C50" s="13">
        <v>6.0</v>
      </c>
      <c r="D50" s="13" t="s">
        <v>34</v>
      </c>
      <c r="E50" s="13">
        <v>2.0</v>
      </c>
      <c r="F50" s="18">
        <v>4.0</v>
      </c>
      <c r="G50" s="9"/>
      <c r="H50" s="21" t="s">
        <v>99</v>
      </c>
    </row>
    <row r="51">
      <c r="A51" s="59">
        <v>50.0</v>
      </c>
      <c r="B51" s="14" t="s">
        <v>312</v>
      </c>
      <c r="C51" s="13">
        <v>6.0</v>
      </c>
      <c r="D51" s="13" t="s">
        <v>34</v>
      </c>
      <c r="E51" s="13">
        <v>2.0</v>
      </c>
      <c r="F51" s="18">
        <v>2.0</v>
      </c>
      <c r="G51" s="9"/>
      <c r="H51" s="21" t="s">
        <v>99</v>
      </c>
    </row>
    <row r="52">
      <c r="A52" s="63">
        <v>51.0</v>
      </c>
      <c r="B52" s="41" t="s">
        <v>313</v>
      </c>
      <c r="C52" s="40">
        <v>6.0</v>
      </c>
      <c r="D52" s="40" t="s">
        <v>34</v>
      </c>
      <c r="E52" s="40">
        <v>2.0</v>
      </c>
      <c r="F52" s="43">
        <v>4.0</v>
      </c>
      <c r="G52" s="46">
        <v>2.0</v>
      </c>
      <c r="H52" s="21" t="s">
        <v>152</v>
      </c>
    </row>
    <row r="53">
      <c r="A53" s="59">
        <v>52.0</v>
      </c>
      <c r="B53" s="14" t="s">
        <v>314</v>
      </c>
      <c r="C53" s="13">
        <v>6.0</v>
      </c>
      <c r="D53" s="13" t="s">
        <v>34</v>
      </c>
      <c r="E53" s="13">
        <v>2.0</v>
      </c>
      <c r="F53" s="18">
        <v>2.0</v>
      </c>
      <c r="G53" s="9"/>
      <c r="H53" s="21" t="s">
        <v>108</v>
      </c>
    </row>
    <row r="54">
      <c r="A54" s="59">
        <v>53.0</v>
      </c>
      <c r="B54" s="14" t="s">
        <v>315</v>
      </c>
      <c r="C54" s="13">
        <v>6.0</v>
      </c>
      <c r="D54" s="13" t="s">
        <v>34</v>
      </c>
      <c r="E54" s="13">
        <v>2.0</v>
      </c>
      <c r="F54" s="18">
        <v>2.0</v>
      </c>
      <c r="G54" s="9"/>
      <c r="H54" s="21" t="s">
        <v>147</v>
      </c>
    </row>
    <row r="55">
      <c r="A55" s="64">
        <v>54.0</v>
      </c>
      <c r="B55" s="33" t="s">
        <v>316</v>
      </c>
      <c r="C55" s="32">
        <v>6.0</v>
      </c>
      <c r="D55" s="32" t="s">
        <v>34</v>
      </c>
      <c r="E55" s="32">
        <v>2.0</v>
      </c>
      <c r="F55" s="36">
        <v>4.0</v>
      </c>
      <c r="G55" s="46">
        <v>2.0</v>
      </c>
      <c r="H55" s="21" t="s">
        <v>152</v>
      </c>
    </row>
    <row r="56">
      <c r="A56" s="64">
        <v>55.0</v>
      </c>
      <c r="B56" s="33" t="s">
        <v>317</v>
      </c>
      <c r="C56" s="32">
        <v>6.0</v>
      </c>
      <c r="D56" s="32" t="s">
        <v>34</v>
      </c>
      <c r="E56" s="32">
        <v>2.0</v>
      </c>
      <c r="F56" s="36">
        <v>4.0</v>
      </c>
      <c r="G56" s="46">
        <v>1.0</v>
      </c>
      <c r="H56" s="21" t="s">
        <v>147</v>
      </c>
    </row>
    <row r="57">
      <c r="A57" s="59">
        <v>56.0</v>
      </c>
      <c r="B57" s="14" t="s">
        <v>29</v>
      </c>
      <c r="C57" s="13">
        <v>6.0</v>
      </c>
      <c r="D57" s="13" t="s">
        <v>34</v>
      </c>
      <c r="E57" s="13">
        <v>2.0</v>
      </c>
      <c r="F57" s="18">
        <v>1.0</v>
      </c>
      <c r="G57" s="9"/>
      <c r="H57" s="21" t="s">
        <v>43</v>
      </c>
    </row>
    <row r="58">
      <c r="A58" s="59">
        <v>57.0</v>
      </c>
      <c r="B58" s="14" t="s">
        <v>318</v>
      </c>
      <c r="C58" s="13">
        <v>6.0</v>
      </c>
      <c r="D58" s="13" t="s">
        <v>34</v>
      </c>
      <c r="E58" s="13">
        <v>2.0</v>
      </c>
      <c r="F58" s="18">
        <v>4.0</v>
      </c>
      <c r="G58" s="9"/>
      <c r="H58" s="21" t="s">
        <v>152</v>
      </c>
    </row>
    <row r="59">
      <c r="A59" s="60">
        <v>58.0</v>
      </c>
      <c r="B59" s="51" t="s">
        <v>94</v>
      </c>
      <c r="C59" s="49">
        <v>6.0</v>
      </c>
      <c r="D59" s="49" t="s">
        <v>34</v>
      </c>
      <c r="E59" s="49">
        <v>2.0</v>
      </c>
      <c r="F59" s="54">
        <v>5.0</v>
      </c>
      <c r="G59" s="46">
        <v>2.0</v>
      </c>
      <c r="H59" s="21" t="s">
        <v>43</v>
      </c>
    </row>
    <row r="60">
      <c r="A60" s="60">
        <v>59.0</v>
      </c>
      <c r="B60" s="51" t="s">
        <v>275</v>
      </c>
      <c r="C60" s="49">
        <v>6.0</v>
      </c>
      <c r="D60" s="49" t="s">
        <v>34</v>
      </c>
      <c r="E60" s="49">
        <v>2.0</v>
      </c>
      <c r="F60" s="54">
        <v>5.0</v>
      </c>
      <c r="G60" s="46">
        <v>1.0</v>
      </c>
      <c r="H60" s="21" t="s">
        <v>147</v>
      </c>
    </row>
    <row r="61">
      <c r="A61" s="60">
        <v>60.0</v>
      </c>
      <c r="B61" s="51" t="s">
        <v>319</v>
      </c>
      <c r="C61" s="49">
        <v>6.0</v>
      </c>
      <c r="D61" s="49" t="s">
        <v>34</v>
      </c>
      <c r="E61" s="49">
        <v>2.0</v>
      </c>
      <c r="F61" s="54">
        <v>4.0</v>
      </c>
      <c r="G61" s="46">
        <v>2.0</v>
      </c>
      <c r="H61" s="21" t="s">
        <v>108</v>
      </c>
    </row>
    <row r="62">
      <c r="A62" s="59">
        <v>61.0</v>
      </c>
      <c r="B62" s="14" t="s">
        <v>320</v>
      </c>
      <c r="C62" s="13">
        <v>6.0</v>
      </c>
      <c r="D62" s="25" t="s">
        <v>72</v>
      </c>
      <c r="E62" s="13">
        <v>2.0</v>
      </c>
      <c r="F62" s="18">
        <v>3.0</v>
      </c>
      <c r="G62" s="9"/>
      <c r="H62" s="21" t="s">
        <v>147</v>
      </c>
    </row>
    <row r="63">
      <c r="A63" s="59">
        <v>62.0</v>
      </c>
      <c r="B63" s="14" t="s">
        <v>321</v>
      </c>
      <c r="C63" s="13">
        <v>6.0</v>
      </c>
      <c r="D63" s="13" t="s">
        <v>34</v>
      </c>
      <c r="E63" s="13">
        <v>2.0</v>
      </c>
      <c r="F63" s="18">
        <v>1.0</v>
      </c>
      <c r="G63" s="9"/>
      <c r="H63" s="21" t="s">
        <v>152</v>
      </c>
    </row>
    <row r="64">
      <c r="A64" s="60">
        <v>63.0</v>
      </c>
      <c r="B64" s="51" t="s">
        <v>322</v>
      </c>
      <c r="C64" s="49">
        <v>6.0</v>
      </c>
      <c r="D64" s="49" t="s">
        <v>34</v>
      </c>
      <c r="E64" s="49">
        <v>2.0</v>
      </c>
      <c r="F64" s="54">
        <v>4.0</v>
      </c>
      <c r="G64" s="46">
        <v>1.0</v>
      </c>
      <c r="H64" s="21" t="s">
        <v>108</v>
      </c>
    </row>
    <row r="65">
      <c r="A65" s="60">
        <v>64.0</v>
      </c>
      <c r="B65" s="51" t="s">
        <v>325</v>
      </c>
      <c r="C65" s="49">
        <v>6.0</v>
      </c>
      <c r="D65" s="53" t="s">
        <v>72</v>
      </c>
      <c r="E65" s="49">
        <v>2.0</v>
      </c>
      <c r="F65" s="54">
        <v>5.0</v>
      </c>
      <c r="G65" s="46">
        <v>1.0</v>
      </c>
      <c r="H65" s="21" t="s">
        <v>147</v>
      </c>
    </row>
    <row r="66">
      <c r="A66" s="60">
        <v>65.0</v>
      </c>
      <c r="B66" s="51" t="s">
        <v>280</v>
      </c>
      <c r="C66" s="49">
        <v>6.0</v>
      </c>
      <c r="D66" s="53" t="s">
        <v>72</v>
      </c>
      <c r="E66" s="49">
        <v>2.0</v>
      </c>
      <c r="F66" s="54">
        <v>5.0</v>
      </c>
      <c r="G66" s="46">
        <v>3.0</v>
      </c>
      <c r="H66" s="21" t="s">
        <v>147</v>
      </c>
      <c r="I66" s="18">
        <v>3.0</v>
      </c>
      <c r="J66" s="18" t="s">
        <v>214</v>
      </c>
    </row>
    <row r="67">
      <c r="A67" s="59">
        <v>66.0</v>
      </c>
      <c r="B67" s="14" t="s">
        <v>327</v>
      </c>
      <c r="C67" s="13">
        <v>6.0</v>
      </c>
      <c r="D67" s="25" t="s">
        <v>72</v>
      </c>
      <c r="E67" s="13">
        <v>2.0</v>
      </c>
      <c r="F67" s="18">
        <v>1.0</v>
      </c>
      <c r="G67" s="9"/>
      <c r="H67" s="21" t="s">
        <v>134</v>
      </c>
    </row>
    <row r="68">
      <c r="A68" s="59">
        <v>67.0</v>
      </c>
      <c r="B68" s="14" t="s">
        <v>213</v>
      </c>
      <c r="C68" s="13">
        <v>6.0</v>
      </c>
      <c r="D68" s="13" t="s">
        <v>34</v>
      </c>
      <c r="E68" s="13">
        <v>1.0</v>
      </c>
      <c r="F68" s="18">
        <v>1.0</v>
      </c>
      <c r="G68" s="9"/>
      <c r="H68" s="21" t="s">
        <v>99</v>
      </c>
    </row>
    <row r="69">
      <c r="A69" s="59">
        <v>68.0</v>
      </c>
      <c r="B69" s="14" t="s">
        <v>328</v>
      </c>
      <c r="C69" s="13">
        <v>6.0</v>
      </c>
      <c r="D69" s="13" t="s">
        <v>34</v>
      </c>
      <c r="E69" s="13">
        <v>1.0</v>
      </c>
      <c r="F69" s="18">
        <v>1.0</v>
      </c>
      <c r="G69" s="9"/>
      <c r="H69" s="21" t="s">
        <v>152</v>
      </c>
    </row>
    <row r="70">
      <c r="A70" s="59">
        <v>69.0</v>
      </c>
      <c r="B70" s="14" t="s">
        <v>329</v>
      </c>
      <c r="C70" s="13">
        <v>6.0</v>
      </c>
      <c r="D70" s="13" t="s">
        <v>34</v>
      </c>
      <c r="E70" s="13">
        <v>1.0</v>
      </c>
      <c r="F70" s="18">
        <v>1.0</v>
      </c>
      <c r="G70" s="9"/>
      <c r="H70" s="21" t="s">
        <v>43</v>
      </c>
    </row>
    <row r="71">
      <c r="A71" s="59">
        <v>70.0</v>
      </c>
      <c r="B71" s="14" t="s">
        <v>230</v>
      </c>
      <c r="C71" s="13">
        <v>6.0</v>
      </c>
      <c r="D71" s="13" t="s">
        <v>34</v>
      </c>
      <c r="E71" s="13">
        <v>1.0</v>
      </c>
      <c r="F71" s="18">
        <v>4.0</v>
      </c>
      <c r="G71" s="9"/>
      <c r="H71" s="21" t="s">
        <v>43</v>
      </c>
    </row>
    <row r="72">
      <c r="A72" s="59">
        <v>71.0</v>
      </c>
      <c r="B72" s="14" t="s">
        <v>330</v>
      </c>
      <c r="C72" s="13">
        <v>6.0</v>
      </c>
      <c r="D72" s="13" t="s">
        <v>34</v>
      </c>
      <c r="E72" s="13">
        <v>1.0</v>
      </c>
      <c r="F72" s="18">
        <v>4.0</v>
      </c>
      <c r="G72" s="9"/>
      <c r="H72" s="21" t="s">
        <v>152</v>
      </c>
    </row>
    <row r="73">
      <c r="A73" s="59">
        <v>72.0</v>
      </c>
      <c r="B73" s="14" t="s">
        <v>331</v>
      </c>
      <c r="C73" s="13">
        <v>6.0</v>
      </c>
      <c r="D73" s="13" t="s">
        <v>34</v>
      </c>
      <c r="E73" s="13">
        <v>1.0</v>
      </c>
      <c r="F73" s="18">
        <v>3.0</v>
      </c>
      <c r="G73" s="9"/>
      <c r="H73" s="21" t="s">
        <v>152</v>
      </c>
    </row>
    <row r="74">
      <c r="A74" s="59">
        <v>73.0</v>
      </c>
      <c r="B74" s="14" t="s">
        <v>332</v>
      </c>
      <c r="C74" s="13">
        <v>6.0</v>
      </c>
      <c r="D74" s="13" t="s">
        <v>34</v>
      </c>
      <c r="E74" s="13">
        <v>1.0</v>
      </c>
      <c r="F74" s="18">
        <v>3.0</v>
      </c>
      <c r="G74" s="9"/>
      <c r="H74" s="21" t="s">
        <v>152</v>
      </c>
    </row>
    <row r="75">
      <c r="A75" s="63">
        <v>74.0</v>
      </c>
      <c r="B75" s="41" t="s">
        <v>333</v>
      </c>
      <c r="C75" s="40">
        <v>6.0</v>
      </c>
      <c r="D75" s="40" t="s">
        <v>34</v>
      </c>
      <c r="E75" s="40">
        <v>1.0</v>
      </c>
      <c r="F75" s="65">
        <v>46146.0</v>
      </c>
      <c r="G75" s="46">
        <v>3.0</v>
      </c>
      <c r="H75" s="21" t="s">
        <v>108</v>
      </c>
    </row>
    <row r="76">
      <c r="A76" s="60">
        <v>75.0</v>
      </c>
      <c r="B76" s="51" t="s">
        <v>138</v>
      </c>
      <c r="C76" s="49">
        <v>6.0</v>
      </c>
      <c r="D76" s="49" t="s">
        <v>34</v>
      </c>
      <c r="E76" s="49">
        <v>1.0</v>
      </c>
      <c r="F76" s="54">
        <v>4.0</v>
      </c>
      <c r="G76" s="46">
        <v>2.0</v>
      </c>
      <c r="H76" s="21" t="s">
        <v>108</v>
      </c>
    </row>
    <row r="77">
      <c r="A77" s="60">
        <v>76.0</v>
      </c>
      <c r="B77" s="51" t="s">
        <v>279</v>
      </c>
      <c r="C77" s="49">
        <v>6.0</v>
      </c>
      <c r="D77" s="49" t="s">
        <v>34</v>
      </c>
      <c r="E77" s="49">
        <v>1.0</v>
      </c>
      <c r="F77" s="54">
        <v>4.0</v>
      </c>
      <c r="G77" s="46">
        <v>2.0</v>
      </c>
      <c r="H77" s="21" t="s">
        <v>99</v>
      </c>
    </row>
    <row r="78">
      <c r="A78" s="60">
        <v>77.0</v>
      </c>
      <c r="B78" s="51" t="s">
        <v>135</v>
      </c>
      <c r="C78" s="49">
        <v>6.0</v>
      </c>
      <c r="D78" s="49" t="s">
        <v>34</v>
      </c>
      <c r="E78" s="49">
        <v>1.0</v>
      </c>
      <c r="F78" s="54">
        <v>5.0</v>
      </c>
      <c r="G78" s="46">
        <v>1.0</v>
      </c>
      <c r="H78" s="21" t="s">
        <v>108</v>
      </c>
    </row>
    <row r="79">
      <c r="A79" s="63">
        <v>78.0</v>
      </c>
      <c r="B79" s="41" t="s">
        <v>334</v>
      </c>
      <c r="C79" s="40">
        <v>6.0</v>
      </c>
      <c r="D79" s="40" t="s">
        <v>34</v>
      </c>
      <c r="E79" s="40">
        <v>1.0</v>
      </c>
      <c r="F79" s="43">
        <v>4.0</v>
      </c>
      <c r="G79" s="46">
        <v>3.0</v>
      </c>
      <c r="H79" s="21" t="s">
        <v>108</v>
      </c>
    </row>
    <row r="80">
      <c r="A80" s="60">
        <v>79.0</v>
      </c>
      <c r="B80" s="51" t="s">
        <v>271</v>
      </c>
      <c r="C80" s="49">
        <v>6.0</v>
      </c>
      <c r="D80" s="49" t="s">
        <v>34</v>
      </c>
      <c r="E80" s="49">
        <v>1.0</v>
      </c>
      <c r="F80" s="54">
        <v>5.0</v>
      </c>
      <c r="G80" s="46">
        <v>1.0</v>
      </c>
      <c r="H80" s="21" t="s">
        <v>108</v>
      </c>
    </row>
    <row r="81">
      <c r="A81" s="63">
        <v>80.0</v>
      </c>
      <c r="B81" s="41" t="s">
        <v>197</v>
      </c>
      <c r="C81" s="40">
        <v>6.0</v>
      </c>
      <c r="D81" s="42" t="s">
        <v>72</v>
      </c>
      <c r="E81" s="40">
        <v>1.0</v>
      </c>
      <c r="F81" s="43">
        <v>4.0</v>
      </c>
      <c r="G81" s="46">
        <v>3.0</v>
      </c>
      <c r="H81" s="21" t="s">
        <v>152</v>
      </c>
    </row>
    <row r="82">
      <c r="A82" s="63">
        <v>81.0</v>
      </c>
      <c r="B82" s="41" t="s">
        <v>335</v>
      </c>
      <c r="C82" s="40">
        <v>6.0</v>
      </c>
      <c r="D82" s="42" t="s">
        <v>72</v>
      </c>
      <c r="E82" s="40">
        <v>1.0</v>
      </c>
      <c r="F82" s="43">
        <v>4.0</v>
      </c>
      <c r="G82" s="46">
        <v>3.0</v>
      </c>
      <c r="H82" s="21" t="s">
        <v>147</v>
      </c>
    </row>
    <row r="83">
      <c r="A83" s="60">
        <v>82.0</v>
      </c>
      <c r="B83" s="51" t="s">
        <v>336</v>
      </c>
      <c r="C83" s="49">
        <v>6.0</v>
      </c>
      <c r="D83" s="53" t="s">
        <v>72</v>
      </c>
      <c r="E83" s="49">
        <v>1.0</v>
      </c>
      <c r="F83" s="54">
        <v>5.0</v>
      </c>
      <c r="G83" s="46">
        <v>1.0</v>
      </c>
      <c r="H83" s="21" t="s">
        <v>134</v>
      </c>
    </row>
    <row r="84">
      <c r="A84" s="64">
        <v>83.0</v>
      </c>
      <c r="B84" s="33" t="s">
        <v>257</v>
      </c>
      <c r="C84" s="32">
        <v>6.0</v>
      </c>
      <c r="D84" s="35" t="s">
        <v>72</v>
      </c>
      <c r="E84" s="32">
        <v>1.0</v>
      </c>
      <c r="F84" s="36">
        <v>4.0</v>
      </c>
      <c r="G84" s="46">
        <v>2.0</v>
      </c>
      <c r="H84" s="21" t="s">
        <v>147</v>
      </c>
    </row>
    <row r="85">
      <c r="A85" s="64">
        <v>84.0</v>
      </c>
      <c r="B85" s="33" t="s">
        <v>337</v>
      </c>
      <c r="C85" s="32">
        <v>6.0</v>
      </c>
      <c r="D85" s="35" t="s">
        <v>72</v>
      </c>
      <c r="E85" s="32">
        <v>1.0</v>
      </c>
      <c r="F85" s="36">
        <v>4.0</v>
      </c>
      <c r="G85" s="46">
        <v>2.0</v>
      </c>
      <c r="H85" s="21" t="s">
        <v>134</v>
      </c>
    </row>
    <row r="86">
      <c r="A86" s="60">
        <v>85.0</v>
      </c>
      <c r="B86" s="51" t="s">
        <v>338</v>
      </c>
      <c r="C86" s="49">
        <v>6.0</v>
      </c>
      <c r="D86" s="53" t="s">
        <v>72</v>
      </c>
      <c r="E86" s="49">
        <v>1.0</v>
      </c>
      <c r="F86" s="54">
        <v>4.0</v>
      </c>
      <c r="G86" s="46">
        <v>2.0</v>
      </c>
      <c r="H86" s="21" t="s">
        <v>134</v>
      </c>
    </row>
    <row r="87">
      <c r="A87" s="60">
        <v>86.0</v>
      </c>
      <c r="B87" s="51" t="s">
        <v>341</v>
      </c>
      <c r="C87" s="49">
        <v>6.0</v>
      </c>
      <c r="D87" s="53" t="s">
        <v>72</v>
      </c>
      <c r="E87" s="49">
        <v>1.0</v>
      </c>
      <c r="F87" s="54">
        <v>4.0</v>
      </c>
      <c r="G87" s="46">
        <v>2.0</v>
      </c>
      <c r="H87" s="21" t="s">
        <v>134</v>
      </c>
    </row>
    <row r="88">
      <c r="A88" s="59">
        <v>87.0</v>
      </c>
      <c r="B88" s="14" t="s">
        <v>342</v>
      </c>
      <c r="C88" s="13">
        <v>6.0</v>
      </c>
      <c r="D88" s="25" t="s">
        <v>72</v>
      </c>
      <c r="E88" s="13">
        <v>1.0</v>
      </c>
      <c r="F88" s="18">
        <v>1.0</v>
      </c>
      <c r="G88" s="9"/>
      <c r="H88" s="21" t="s">
        <v>134</v>
      </c>
    </row>
    <row r="89">
      <c r="A89" s="63">
        <v>88.0</v>
      </c>
      <c r="B89" s="41" t="s">
        <v>343</v>
      </c>
      <c r="C89" s="40">
        <v>6.0</v>
      </c>
      <c r="D89" s="42" t="s">
        <v>72</v>
      </c>
      <c r="E89" s="40">
        <v>1.0</v>
      </c>
      <c r="F89" s="43">
        <v>4.0</v>
      </c>
      <c r="G89" s="46">
        <v>2.0</v>
      </c>
      <c r="H89" s="21" t="s">
        <v>99</v>
      </c>
    </row>
    <row r="90">
      <c r="A90" s="63">
        <v>89.0</v>
      </c>
      <c r="B90" s="41" t="s">
        <v>344</v>
      </c>
      <c r="C90" s="40">
        <v>6.0</v>
      </c>
      <c r="D90" s="42" t="s">
        <v>72</v>
      </c>
      <c r="E90" s="40">
        <v>1.0</v>
      </c>
      <c r="F90" s="43">
        <v>1.0</v>
      </c>
      <c r="G90" s="46">
        <v>3.0</v>
      </c>
      <c r="H90" s="21" t="s">
        <v>108</v>
      </c>
    </row>
    <row r="91">
      <c r="A91" s="59">
        <v>90.0</v>
      </c>
      <c r="B91" s="14" t="s">
        <v>345</v>
      </c>
      <c r="C91" s="13">
        <v>6.0</v>
      </c>
      <c r="D91" s="25" t="s">
        <v>72</v>
      </c>
      <c r="E91" s="13">
        <v>1.0</v>
      </c>
      <c r="F91" s="18">
        <v>1.0</v>
      </c>
      <c r="G91" s="9"/>
      <c r="H91" s="21" t="s">
        <v>99</v>
      </c>
    </row>
    <row r="92">
      <c r="A92" s="59">
        <v>91.0</v>
      </c>
      <c r="B92" s="14" t="s">
        <v>346</v>
      </c>
      <c r="C92" s="13">
        <v>6.0</v>
      </c>
      <c r="D92" s="13" t="s">
        <v>34</v>
      </c>
      <c r="E92" s="13">
        <v>1.0</v>
      </c>
      <c r="F92" s="18">
        <v>1.0</v>
      </c>
      <c r="G92" s="9"/>
      <c r="H92" s="21" t="s">
        <v>134</v>
      </c>
    </row>
    <row r="93">
      <c r="A93" s="59">
        <v>92.0</v>
      </c>
      <c r="B93" s="14" t="s">
        <v>347</v>
      </c>
      <c r="C93" s="13">
        <v>6.0</v>
      </c>
      <c r="D93" s="13" t="s">
        <v>34</v>
      </c>
      <c r="E93" s="13">
        <v>1.0</v>
      </c>
      <c r="F93" s="18">
        <v>1.0</v>
      </c>
      <c r="G93" s="9"/>
      <c r="H93" s="21" t="s">
        <v>108</v>
      </c>
    </row>
    <row r="94">
      <c r="A94" s="60">
        <v>93.0</v>
      </c>
      <c r="B94" s="51" t="s">
        <v>174</v>
      </c>
      <c r="C94" s="49">
        <v>6.0</v>
      </c>
      <c r="D94" s="49" t="s">
        <v>34</v>
      </c>
      <c r="E94" s="49">
        <v>1.0</v>
      </c>
      <c r="F94" s="54">
        <v>5.0</v>
      </c>
      <c r="G94" s="46">
        <v>1.0</v>
      </c>
      <c r="H94" s="21" t="s">
        <v>99</v>
      </c>
    </row>
    <row r="95">
      <c r="A95" s="59">
        <v>94.0</v>
      </c>
      <c r="B95" s="14" t="s">
        <v>348</v>
      </c>
      <c r="C95" s="13">
        <v>6.0</v>
      </c>
      <c r="D95" s="13" t="s">
        <v>34</v>
      </c>
      <c r="E95" s="13">
        <v>1.0</v>
      </c>
      <c r="F95" s="18">
        <v>3.0</v>
      </c>
      <c r="G95" s="9"/>
      <c r="H95" s="21" t="s">
        <v>43</v>
      </c>
    </row>
    <row r="96">
      <c r="A96" s="59">
        <v>95.0</v>
      </c>
      <c r="B96" s="14" t="s">
        <v>349</v>
      </c>
      <c r="C96" s="13">
        <v>6.0</v>
      </c>
      <c r="D96" s="13" t="s">
        <v>34</v>
      </c>
      <c r="E96" s="13">
        <v>1.0</v>
      </c>
      <c r="F96" s="18">
        <v>1.0</v>
      </c>
      <c r="G96" s="9"/>
      <c r="H96" s="21" t="s">
        <v>147</v>
      </c>
    </row>
    <row r="97">
      <c r="A97" s="64">
        <v>96.0</v>
      </c>
      <c r="B97" s="33" t="s">
        <v>350</v>
      </c>
      <c r="C97" s="32">
        <v>6.0</v>
      </c>
      <c r="D97" s="32" t="s">
        <v>34</v>
      </c>
      <c r="E97" s="32">
        <v>1.0</v>
      </c>
      <c r="F97" s="36">
        <v>4.0</v>
      </c>
      <c r="G97" s="46">
        <v>2.0</v>
      </c>
      <c r="H97" s="21" t="s">
        <v>99</v>
      </c>
    </row>
    <row r="98">
      <c r="A98" s="59">
        <v>97.0</v>
      </c>
      <c r="B98" s="14" t="s">
        <v>270</v>
      </c>
      <c r="C98" s="13">
        <v>6.0</v>
      </c>
      <c r="D98" s="13" t="s">
        <v>34</v>
      </c>
      <c r="E98" s="13">
        <v>1.0</v>
      </c>
      <c r="F98" s="18">
        <v>1.0</v>
      </c>
      <c r="G98" s="9"/>
      <c r="H98" s="21" t="s">
        <v>43</v>
      </c>
    </row>
    <row r="99">
      <c r="A99" s="59">
        <v>98.0</v>
      </c>
      <c r="B99" s="14" t="s">
        <v>351</v>
      </c>
      <c r="C99" s="13">
        <v>6.0</v>
      </c>
      <c r="D99" s="13" t="s">
        <v>34</v>
      </c>
      <c r="E99" s="13">
        <v>1.0</v>
      </c>
      <c r="F99" s="18">
        <v>1.0</v>
      </c>
      <c r="G99" s="9"/>
      <c r="H99" s="21" t="s">
        <v>147</v>
      </c>
    </row>
    <row r="100">
      <c r="A100" s="59">
        <v>99.0</v>
      </c>
      <c r="B100" s="14" t="s">
        <v>352</v>
      </c>
      <c r="C100" s="13">
        <v>6.0</v>
      </c>
      <c r="D100" s="13" t="s">
        <v>34</v>
      </c>
      <c r="E100" s="13">
        <v>1.0</v>
      </c>
      <c r="F100" s="18">
        <v>1.0</v>
      </c>
      <c r="G100" s="9"/>
      <c r="H100" s="21" t="s">
        <v>147</v>
      </c>
    </row>
    <row r="101">
      <c r="A101" s="59">
        <v>100.0</v>
      </c>
      <c r="B101" s="14" t="s">
        <v>353</v>
      </c>
      <c r="C101" s="13">
        <v>6.0</v>
      </c>
      <c r="D101" s="13" t="s">
        <v>34</v>
      </c>
      <c r="E101" s="13">
        <v>1.0</v>
      </c>
      <c r="F101" s="18">
        <v>2.0</v>
      </c>
      <c r="G101" s="9"/>
      <c r="H101" s="21" t="s">
        <v>99</v>
      </c>
    </row>
    <row r="102">
      <c r="A102" s="59">
        <v>101.0</v>
      </c>
      <c r="B102" s="14" t="s">
        <v>252</v>
      </c>
      <c r="C102" s="13">
        <v>6.0</v>
      </c>
      <c r="D102" s="25" t="s">
        <v>72</v>
      </c>
      <c r="E102" s="13">
        <v>1.0</v>
      </c>
      <c r="F102" s="18">
        <v>1.0</v>
      </c>
      <c r="G102" s="9"/>
      <c r="H102" s="21" t="s">
        <v>152</v>
      </c>
    </row>
    <row r="103">
      <c r="A103" s="60">
        <v>102.0</v>
      </c>
      <c r="B103" s="51" t="s">
        <v>91</v>
      </c>
      <c r="C103" s="49">
        <v>6.0</v>
      </c>
      <c r="D103" s="49" t="s">
        <v>34</v>
      </c>
      <c r="E103" s="49">
        <v>1.0</v>
      </c>
      <c r="F103" s="54">
        <v>5.0</v>
      </c>
      <c r="G103" s="46">
        <v>1.0</v>
      </c>
      <c r="H103" s="21" t="s">
        <v>43</v>
      </c>
    </row>
    <row r="104">
      <c r="A104" s="59">
        <v>103.0</v>
      </c>
      <c r="B104" s="14" t="s">
        <v>354</v>
      </c>
      <c r="C104" s="13">
        <v>6.0</v>
      </c>
      <c r="D104" s="13" t="s">
        <v>34</v>
      </c>
      <c r="E104" s="13">
        <v>1.0</v>
      </c>
      <c r="F104" s="18">
        <v>1.0</v>
      </c>
      <c r="G104" s="9"/>
      <c r="H104" s="21" t="s">
        <v>43</v>
      </c>
    </row>
    <row r="105">
      <c r="A105" s="60">
        <v>104.0</v>
      </c>
      <c r="B105" s="51" t="s">
        <v>180</v>
      </c>
      <c r="C105" s="49">
        <v>6.0</v>
      </c>
      <c r="D105" s="49" t="s">
        <v>34</v>
      </c>
      <c r="E105" s="49">
        <v>1.0</v>
      </c>
      <c r="F105" s="54">
        <v>4.0</v>
      </c>
      <c r="G105" s="46">
        <v>2.0</v>
      </c>
      <c r="H105" s="21" t="s">
        <v>99</v>
      </c>
    </row>
    <row r="106">
      <c r="A106" s="60">
        <v>105.0</v>
      </c>
      <c r="B106" s="51" t="s">
        <v>126</v>
      </c>
      <c r="C106" s="49">
        <v>6.0</v>
      </c>
      <c r="D106" s="49" t="s">
        <v>34</v>
      </c>
      <c r="E106" s="49">
        <v>1.0</v>
      </c>
      <c r="F106" s="54">
        <v>5.0</v>
      </c>
      <c r="G106" s="46">
        <v>1.0</v>
      </c>
      <c r="H106" s="21" t="s">
        <v>152</v>
      </c>
    </row>
    <row r="107">
      <c r="A107" s="59">
        <v>106.0</v>
      </c>
      <c r="B107" s="14" t="s">
        <v>249</v>
      </c>
      <c r="C107" s="13">
        <v>6.0</v>
      </c>
      <c r="D107" s="13" t="s">
        <v>34</v>
      </c>
      <c r="E107" s="13">
        <v>1.0</v>
      </c>
      <c r="F107" s="18">
        <v>1.0</v>
      </c>
      <c r="G107" s="9"/>
      <c r="H107" s="21" t="s">
        <v>99</v>
      </c>
    </row>
    <row r="108">
      <c r="A108" s="59">
        <v>107.0</v>
      </c>
      <c r="B108" s="14" t="s">
        <v>355</v>
      </c>
      <c r="C108" s="13">
        <v>6.0</v>
      </c>
      <c r="D108" s="13" t="s">
        <v>34</v>
      </c>
      <c r="E108" s="13">
        <v>1.0</v>
      </c>
      <c r="F108" s="18">
        <v>1.0</v>
      </c>
      <c r="G108" s="9"/>
      <c r="H108" s="21" t="s">
        <v>43</v>
      </c>
    </row>
    <row r="109">
      <c r="A109" s="59">
        <v>108.0</v>
      </c>
      <c r="B109" s="14" t="s">
        <v>240</v>
      </c>
      <c r="C109" s="13">
        <v>6.0</v>
      </c>
      <c r="D109" s="13" t="s">
        <v>34</v>
      </c>
      <c r="E109" s="13">
        <v>1.0</v>
      </c>
      <c r="F109" s="18">
        <v>2.0</v>
      </c>
      <c r="G109" s="9"/>
      <c r="H109" s="21" t="s">
        <v>43</v>
      </c>
    </row>
    <row r="110">
      <c r="A110" s="59">
        <v>109.0</v>
      </c>
      <c r="B110" s="14" t="s">
        <v>300</v>
      </c>
      <c r="C110" s="13">
        <v>6.0</v>
      </c>
      <c r="D110" s="13" t="s">
        <v>34</v>
      </c>
      <c r="E110" s="13">
        <v>1.0</v>
      </c>
      <c r="F110" s="18">
        <v>5.0</v>
      </c>
      <c r="G110" s="9"/>
      <c r="H110" s="21" t="s">
        <v>99</v>
      </c>
    </row>
    <row r="111">
      <c r="A111" s="59">
        <v>110.0</v>
      </c>
      <c r="B111" s="14" t="s">
        <v>356</v>
      </c>
      <c r="C111" s="13">
        <v>6.0</v>
      </c>
      <c r="D111" s="13" t="s">
        <v>34</v>
      </c>
      <c r="E111" s="13">
        <v>1.0</v>
      </c>
      <c r="F111" s="18">
        <v>3.0</v>
      </c>
      <c r="G111" s="9"/>
      <c r="H111" s="21" t="s">
        <v>43</v>
      </c>
    </row>
    <row r="112">
      <c r="A112" s="63">
        <v>111.0</v>
      </c>
      <c r="B112" s="41" t="s">
        <v>357</v>
      </c>
      <c r="C112" s="40">
        <v>6.0</v>
      </c>
      <c r="D112" s="40" t="s">
        <v>34</v>
      </c>
      <c r="E112" s="40">
        <v>1.0</v>
      </c>
      <c r="F112" s="43">
        <v>4.0</v>
      </c>
      <c r="G112" s="46">
        <v>2.0</v>
      </c>
      <c r="H112" s="21" t="s">
        <v>134</v>
      </c>
    </row>
    <row r="113">
      <c r="A113" s="59">
        <v>112.0</v>
      </c>
      <c r="B113" s="14" t="s">
        <v>358</v>
      </c>
      <c r="C113" s="13">
        <v>6.0</v>
      </c>
      <c r="D113" s="13" t="s">
        <v>34</v>
      </c>
      <c r="E113" s="13">
        <v>1.0</v>
      </c>
      <c r="F113" s="18">
        <v>3.0</v>
      </c>
      <c r="G113" s="9"/>
      <c r="H113" s="21" t="s">
        <v>134</v>
      </c>
    </row>
    <row r="114">
      <c r="A114" s="59">
        <v>113.0</v>
      </c>
      <c r="B114" s="14" t="s">
        <v>359</v>
      </c>
      <c r="C114" s="13">
        <v>6.0</v>
      </c>
      <c r="D114" s="13" t="s">
        <v>34</v>
      </c>
      <c r="E114" s="13">
        <v>1.0</v>
      </c>
      <c r="F114" s="18">
        <v>1.0</v>
      </c>
      <c r="G114" s="9"/>
      <c r="H114" s="21" t="s">
        <v>134</v>
      </c>
    </row>
    <row r="115">
      <c r="A115" s="63">
        <v>114.0</v>
      </c>
      <c r="B115" s="41" t="s">
        <v>360</v>
      </c>
      <c r="C115" s="40">
        <v>6.0</v>
      </c>
      <c r="D115" s="40" t="s">
        <v>34</v>
      </c>
      <c r="E115" s="40">
        <v>1.0</v>
      </c>
      <c r="F115" s="43">
        <v>4.0</v>
      </c>
      <c r="G115" s="46">
        <v>2.0</v>
      </c>
      <c r="H115" s="21" t="s">
        <v>108</v>
      </c>
      <c r="I115" s="31"/>
      <c r="J115" s="18" t="s">
        <v>116</v>
      </c>
    </row>
    <row r="116">
      <c r="A116" s="59">
        <v>115.0</v>
      </c>
      <c r="B116" s="14" t="s">
        <v>361</v>
      </c>
      <c r="C116" s="13">
        <v>6.0</v>
      </c>
      <c r="D116" s="13" t="s">
        <v>34</v>
      </c>
      <c r="E116" s="13">
        <v>1.0</v>
      </c>
      <c r="F116" s="18">
        <v>1.0</v>
      </c>
      <c r="G116" s="9"/>
      <c r="H116" s="21" t="s">
        <v>147</v>
      </c>
    </row>
    <row r="117">
      <c r="A117" s="59">
        <v>116.0</v>
      </c>
      <c r="B117" s="14" t="s">
        <v>294</v>
      </c>
      <c r="C117" s="13">
        <v>6.0</v>
      </c>
      <c r="D117" s="13" t="s">
        <v>34</v>
      </c>
      <c r="E117" s="13">
        <v>1.0</v>
      </c>
      <c r="F117" s="18">
        <v>1.0</v>
      </c>
      <c r="G117" s="9"/>
      <c r="H117" s="21" t="s">
        <v>134</v>
      </c>
    </row>
    <row r="118">
      <c r="A118" s="59">
        <v>117.0</v>
      </c>
      <c r="B118" s="14" t="s">
        <v>181</v>
      </c>
      <c r="C118" s="13">
        <v>6.0</v>
      </c>
      <c r="D118" s="25" t="s">
        <v>72</v>
      </c>
      <c r="E118" s="13">
        <v>1.0</v>
      </c>
      <c r="F118" s="18">
        <v>2.0</v>
      </c>
      <c r="G118" s="9"/>
      <c r="H118" s="21" t="s">
        <v>147</v>
      </c>
    </row>
    <row r="119">
      <c r="A119" s="59">
        <v>118.0</v>
      </c>
      <c r="B119" s="14" t="s">
        <v>265</v>
      </c>
      <c r="C119" s="13">
        <v>6.0</v>
      </c>
      <c r="D119" s="13" t="s">
        <v>34</v>
      </c>
      <c r="E119" s="13">
        <v>1.0</v>
      </c>
      <c r="F119" s="18">
        <v>3.0</v>
      </c>
      <c r="G119" s="9"/>
      <c r="H119" s="21" t="s">
        <v>134</v>
      </c>
    </row>
    <row r="120">
      <c r="A120" s="59">
        <v>119.0</v>
      </c>
      <c r="B120" s="14" t="s">
        <v>363</v>
      </c>
      <c r="C120" s="13">
        <v>6.0</v>
      </c>
      <c r="D120" s="13" t="s">
        <v>34</v>
      </c>
      <c r="E120" s="13">
        <v>1.0</v>
      </c>
      <c r="F120" s="18">
        <v>1.0</v>
      </c>
      <c r="G120" s="9"/>
      <c r="H120" s="21" t="s">
        <v>147</v>
      </c>
    </row>
    <row r="121">
      <c r="A121" s="59">
        <v>120.0</v>
      </c>
      <c r="B121" s="14" t="s">
        <v>364</v>
      </c>
      <c r="C121" s="13">
        <v>6.0</v>
      </c>
      <c r="D121" s="13" t="s">
        <v>34</v>
      </c>
      <c r="E121" s="13">
        <v>1.0</v>
      </c>
      <c r="F121" s="18">
        <v>1.0</v>
      </c>
      <c r="G121" s="9"/>
      <c r="H121" s="21" t="s">
        <v>99</v>
      </c>
    </row>
    <row r="122">
      <c r="A122" s="59">
        <v>121.0</v>
      </c>
      <c r="B122" s="14" t="s">
        <v>365</v>
      </c>
      <c r="C122" s="13">
        <v>6.0</v>
      </c>
      <c r="D122" s="13" t="s">
        <v>34</v>
      </c>
      <c r="E122" s="13">
        <v>1.0</v>
      </c>
      <c r="F122" s="18">
        <v>4.0</v>
      </c>
      <c r="G122" s="9"/>
      <c r="H122" s="21" t="s">
        <v>147</v>
      </c>
    </row>
    <row r="123">
      <c r="A123" s="59">
        <v>122.0</v>
      </c>
      <c r="B123" s="14" t="s">
        <v>366</v>
      </c>
      <c r="C123" s="13">
        <v>6.0</v>
      </c>
      <c r="D123" s="13" t="s">
        <v>34</v>
      </c>
      <c r="E123" s="13">
        <v>1.0</v>
      </c>
      <c r="F123" s="18">
        <v>1.0</v>
      </c>
      <c r="G123" s="9"/>
      <c r="H123" s="21" t="s">
        <v>147</v>
      </c>
    </row>
    <row r="124">
      <c r="A124" s="59">
        <v>123.0</v>
      </c>
      <c r="B124" s="14" t="s">
        <v>368</v>
      </c>
      <c r="C124" s="13">
        <v>6.0</v>
      </c>
      <c r="D124" s="25" t="s">
        <v>72</v>
      </c>
      <c r="E124" s="13">
        <v>1.0</v>
      </c>
      <c r="F124" s="18">
        <v>1.0</v>
      </c>
      <c r="G124" s="9"/>
      <c r="H124" s="21" t="s">
        <v>43</v>
      </c>
    </row>
    <row r="125">
      <c r="A125" s="59">
        <v>124.0</v>
      </c>
      <c r="B125" s="14" t="s">
        <v>369</v>
      </c>
      <c r="C125" s="13">
        <v>6.0</v>
      </c>
      <c r="D125" s="25" t="s">
        <v>72</v>
      </c>
      <c r="E125" s="13">
        <v>1.0</v>
      </c>
      <c r="F125" s="18">
        <v>1.0</v>
      </c>
      <c r="G125" s="9"/>
      <c r="H125" s="21" t="s">
        <v>147</v>
      </c>
    </row>
    <row r="126">
      <c r="A126" s="59">
        <v>125.0</v>
      </c>
      <c r="B126" s="14" t="s">
        <v>370</v>
      </c>
      <c r="C126" s="13">
        <v>6.0</v>
      </c>
      <c r="D126" s="25" t="s">
        <v>72</v>
      </c>
      <c r="E126" s="13">
        <v>1.0</v>
      </c>
      <c r="F126" s="18">
        <v>3.0</v>
      </c>
      <c r="G126" s="9"/>
      <c r="H126" s="21" t="s">
        <v>152</v>
      </c>
    </row>
    <row r="127">
      <c r="A127" s="59">
        <v>126.0</v>
      </c>
      <c r="B127" s="14" t="s">
        <v>372</v>
      </c>
      <c r="C127" s="13">
        <v>6.0</v>
      </c>
      <c r="D127" s="25" t="s">
        <v>72</v>
      </c>
      <c r="E127" s="13">
        <v>1.0</v>
      </c>
      <c r="F127" s="18">
        <v>4.0</v>
      </c>
      <c r="G127" s="9"/>
      <c r="H127" s="21" t="s">
        <v>99</v>
      </c>
    </row>
    <row r="128">
      <c r="A128" s="59">
        <v>127.0</v>
      </c>
      <c r="B128" s="14" t="s">
        <v>374</v>
      </c>
      <c r="C128" s="13">
        <v>6.0</v>
      </c>
      <c r="D128" s="25" t="s">
        <v>72</v>
      </c>
      <c r="E128" s="13">
        <v>1.0</v>
      </c>
      <c r="F128" s="18">
        <v>3.0</v>
      </c>
      <c r="G128" s="9"/>
      <c r="H128" s="21" t="s">
        <v>152</v>
      </c>
    </row>
    <row r="129">
      <c r="A129" s="59">
        <v>128.0</v>
      </c>
      <c r="B129" s="14" t="s">
        <v>377</v>
      </c>
      <c r="C129" s="13">
        <v>6.0</v>
      </c>
      <c r="D129" s="25" t="s">
        <v>72</v>
      </c>
      <c r="E129" s="13">
        <v>1.0</v>
      </c>
      <c r="F129" s="18">
        <v>3.0</v>
      </c>
      <c r="G129" s="9"/>
      <c r="H129" s="21" t="s">
        <v>99</v>
      </c>
    </row>
    <row r="130">
      <c r="A130" s="59">
        <v>129.0</v>
      </c>
      <c r="B130" s="14" t="s">
        <v>378</v>
      </c>
      <c r="C130" s="13">
        <v>6.0</v>
      </c>
      <c r="D130" s="25" t="s">
        <v>72</v>
      </c>
      <c r="E130" s="13">
        <v>1.0</v>
      </c>
      <c r="F130" s="18">
        <v>1.0</v>
      </c>
      <c r="G130" s="9"/>
      <c r="H130" s="21" t="s">
        <v>43</v>
      </c>
    </row>
    <row r="131">
      <c r="A131" s="60">
        <v>130.0</v>
      </c>
      <c r="B131" s="51" t="s">
        <v>381</v>
      </c>
      <c r="C131" s="49">
        <v>6.0</v>
      </c>
      <c r="D131" s="53" t="s">
        <v>72</v>
      </c>
      <c r="E131" s="49">
        <v>1.0</v>
      </c>
      <c r="F131" s="54">
        <v>5.0</v>
      </c>
      <c r="G131" s="46">
        <v>2.0</v>
      </c>
      <c r="H131" s="21" t="s">
        <v>152</v>
      </c>
    </row>
    <row r="132">
      <c r="A132" s="59">
        <v>131.0</v>
      </c>
      <c r="B132" s="14" t="s">
        <v>383</v>
      </c>
      <c r="C132" s="13">
        <v>6.0</v>
      </c>
      <c r="D132" s="25" t="s">
        <v>72</v>
      </c>
      <c r="E132" s="13">
        <v>1.0</v>
      </c>
      <c r="F132" s="18">
        <v>1.0</v>
      </c>
      <c r="G132" s="9"/>
      <c r="H132" s="21" t="s">
        <v>152</v>
      </c>
    </row>
    <row r="133">
      <c r="A133" s="59">
        <v>132.0</v>
      </c>
      <c r="B133" s="14" t="s">
        <v>387</v>
      </c>
      <c r="C133" s="13">
        <v>6.0</v>
      </c>
      <c r="D133" s="25" t="s">
        <v>72</v>
      </c>
      <c r="E133" s="13">
        <v>1.0</v>
      </c>
      <c r="F133" s="18">
        <v>1.0</v>
      </c>
      <c r="G133" s="9"/>
      <c r="H133" s="21" t="s">
        <v>99</v>
      </c>
    </row>
    <row r="134">
      <c r="A134" s="60">
        <v>133.0</v>
      </c>
      <c r="B134" s="51" t="s">
        <v>90</v>
      </c>
      <c r="C134" s="49">
        <v>6.0</v>
      </c>
      <c r="D134" s="53" t="s">
        <v>72</v>
      </c>
      <c r="E134" s="49">
        <v>1.0</v>
      </c>
      <c r="F134" s="54">
        <v>5.0</v>
      </c>
      <c r="G134" s="46">
        <v>1.0</v>
      </c>
      <c r="H134" s="21" t="s">
        <v>43</v>
      </c>
    </row>
    <row r="135">
      <c r="A135" s="59">
        <v>134.0</v>
      </c>
      <c r="B135" s="14" t="s">
        <v>392</v>
      </c>
      <c r="C135" s="13">
        <v>6.0</v>
      </c>
      <c r="D135" s="25" t="s">
        <v>72</v>
      </c>
      <c r="E135" s="13">
        <v>1.0</v>
      </c>
      <c r="F135" s="18">
        <v>2.0</v>
      </c>
      <c r="G135" s="9"/>
      <c r="H135" s="21" t="s">
        <v>99</v>
      </c>
    </row>
    <row r="136">
      <c r="A136" s="59">
        <v>135.0</v>
      </c>
      <c r="B136" s="14" t="s">
        <v>396</v>
      </c>
      <c r="C136" s="13">
        <v>6.0</v>
      </c>
      <c r="D136" s="25" t="s">
        <v>72</v>
      </c>
      <c r="E136" s="13">
        <v>1.0</v>
      </c>
      <c r="F136" s="18">
        <v>1.0</v>
      </c>
      <c r="G136" s="9"/>
      <c r="H136" s="21" t="s">
        <v>43</v>
      </c>
    </row>
    <row r="137">
      <c r="A137" s="59">
        <v>136.0</v>
      </c>
      <c r="B137" s="14" t="s">
        <v>399</v>
      </c>
      <c r="C137" s="13">
        <v>6.0</v>
      </c>
      <c r="D137" s="25" t="s">
        <v>72</v>
      </c>
      <c r="E137" s="13">
        <v>1.0</v>
      </c>
      <c r="F137" s="18">
        <v>4.0</v>
      </c>
      <c r="G137" s="9"/>
      <c r="H137" s="21" t="s">
        <v>152</v>
      </c>
    </row>
    <row r="138">
      <c r="A138" s="59">
        <v>137.0</v>
      </c>
      <c r="B138" s="14" t="s">
        <v>400</v>
      </c>
      <c r="C138" s="13">
        <v>6.0</v>
      </c>
      <c r="D138" s="25" t="s">
        <v>72</v>
      </c>
      <c r="E138" s="13">
        <v>1.0</v>
      </c>
      <c r="F138" s="18">
        <v>1.0</v>
      </c>
      <c r="G138" s="9"/>
      <c r="H138" s="21" t="s">
        <v>43</v>
      </c>
    </row>
    <row r="139">
      <c r="A139" s="59">
        <v>138.0</v>
      </c>
      <c r="B139" s="14" t="s">
        <v>403</v>
      </c>
      <c r="C139" s="13">
        <v>6.0</v>
      </c>
      <c r="D139" s="25" t="s">
        <v>72</v>
      </c>
      <c r="E139" s="13">
        <v>1.0</v>
      </c>
      <c r="F139" s="18">
        <v>1.0</v>
      </c>
      <c r="G139" s="9"/>
      <c r="H139" s="21" t="s">
        <v>99</v>
      </c>
    </row>
    <row r="140">
      <c r="A140" s="59">
        <v>139.0</v>
      </c>
      <c r="B140" s="14" t="s">
        <v>407</v>
      </c>
      <c r="C140" s="13">
        <v>6.0</v>
      </c>
      <c r="D140" s="25" t="s">
        <v>72</v>
      </c>
      <c r="E140" s="13">
        <v>1.0</v>
      </c>
      <c r="F140" s="18">
        <v>4.0</v>
      </c>
      <c r="G140" s="9"/>
      <c r="H140" s="21" t="s">
        <v>147</v>
      </c>
    </row>
    <row r="141">
      <c r="A141" s="59">
        <v>140.0</v>
      </c>
      <c r="B141" s="14" t="s">
        <v>410</v>
      </c>
      <c r="C141" s="13">
        <v>6.0</v>
      </c>
      <c r="D141" s="25" t="s">
        <v>72</v>
      </c>
      <c r="E141" s="13">
        <v>1.0</v>
      </c>
      <c r="F141" s="18">
        <v>1.0</v>
      </c>
      <c r="G141" s="9"/>
      <c r="H141" s="21" t="s">
        <v>99</v>
      </c>
    </row>
    <row r="142">
      <c r="A142" s="59">
        <v>141.0</v>
      </c>
      <c r="B142" s="14" t="s">
        <v>413</v>
      </c>
      <c r="C142" s="13">
        <v>6.0</v>
      </c>
      <c r="D142" s="25" t="s">
        <v>72</v>
      </c>
      <c r="E142" s="13">
        <v>1.0</v>
      </c>
      <c r="F142" s="18">
        <v>3.0</v>
      </c>
      <c r="G142" s="9"/>
      <c r="H142" s="21" t="s">
        <v>152</v>
      </c>
    </row>
    <row r="143">
      <c r="A143" s="59">
        <v>142.0</v>
      </c>
      <c r="B143" s="14" t="s">
        <v>417</v>
      </c>
      <c r="C143" s="13">
        <v>6.0</v>
      </c>
      <c r="D143" s="25" t="s">
        <v>72</v>
      </c>
      <c r="E143" s="13">
        <v>1.0</v>
      </c>
      <c r="F143" s="18">
        <v>1.0</v>
      </c>
      <c r="G143" s="9"/>
      <c r="H143" s="21" t="s">
        <v>99</v>
      </c>
    </row>
    <row r="144">
      <c r="A144" s="60">
        <v>143.0</v>
      </c>
      <c r="B144" s="51" t="s">
        <v>189</v>
      </c>
      <c r="C144" s="49">
        <v>6.0</v>
      </c>
      <c r="D144" s="53" t="s">
        <v>72</v>
      </c>
      <c r="E144" s="49">
        <v>1.0</v>
      </c>
      <c r="F144" s="54">
        <v>5.0</v>
      </c>
      <c r="G144" s="46">
        <v>1.0</v>
      </c>
      <c r="H144" s="21" t="s">
        <v>108</v>
      </c>
    </row>
    <row r="145">
      <c r="A145" s="59">
        <v>144.0</v>
      </c>
      <c r="B145" s="14" t="s">
        <v>419</v>
      </c>
      <c r="C145" s="13">
        <v>6.0</v>
      </c>
      <c r="D145" s="25" t="s">
        <v>72</v>
      </c>
      <c r="E145" s="13">
        <v>1.0</v>
      </c>
      <c r="F145" s="18">
        <v>3.0</v>
      </c>
      <c r="G145" s="9"/>
      <c r="H145" s="21" t="s">
        <v>43</v>
      </c>
    </row>
    <row r="146">
      <c r="A146" s="59">
        <v>145.0</v>
      </c>
      <c r="B146" s="14" t="s">
        <v>422</v>
      </c>
      <c r="C146" s="13">
        <v>6.0</v>
      </c>
      <c r="D146" s="25" t="s">
        <v>72</v>
      </c>
      <c r="E146" s="13">
        <v>1.0</v>
      </c>
      <c r="F146" s="18">
        <v>1.0</v>
      </c>
      <c r="G146" s="9"/>
      <c r="H146" s="21" t="s">
        <v>99</v>
      </c>
    </row>
    <row r="147">
      <c r="A147" s="59">
        <v>146.0</v>
      </c>
      <c r="B147" s="14" t="s">
        <v>425</v>
      </c>
      <c r="C147" s="13">
        <v>6.0</v>
      </c>
      <c r="D147" s="25" t="s">
        <v>72</v>
      </c>
      <c r="E147" s="13">
        <v>1.0</v>
      </c>
      <c r="F147" s="18">
        <v>1.0</v>
      </c>
      <c r="G147" s="9"/>
      <c r="H147" s="21" t="s">
        <v>152</v>
      </c>
    </row>
    <row r="148">
      <c r="A148" s="59">
        <v>147.0</v>
      </c>
      <c r="B148" s="14" t="s">
        <v>427</v>
      </c>
      <c r="C148" s="13">
        <v>6.0</v>
      </c>
      <c r="D148" s="25" t="s">
        <v>72</v>
      </c>
      <c r="E148" s="13">
        <v>1.0</v>
      </c>
      <c r="F148" s="18">
        <v>4.0</v>
      </c>
      <c r="G148" s="9"/>
      <c r="H148" s="21" t="s">
        <v>152</v>
      </c>
    </row>
    <row r="149">
      <c r="A149" s="59">
        <v>148.0</v>
      </c>
      <c r="B149" s="14" t="s">
        <v>430</v>
      </c>
      <c r="C149" s="13">
        <v>6.0</v>
      </c>
      <c r="D149" s="25" t="s">
        <v>72</v>
      </c>
      <c r="E149" s="13">
        <v>1.0</v>
      </c>
      <c r="F149" s="18">
        <v>3.0</v>
      </c>
      <c r="G149" s="9"/>
      <c r="H149" s="21" t="s">
        <v>152</v>
      </c>
    </row>
    <row r="150">
      <c r="A150" s="59">
        <v>149.0</v>
      </c>
      <c r="B150" s="14" t="s">
        <v>380</v>
      </c>
      <c r="C150" s="13">
        <v>6.0</v>
      </c>
      <c r="D150" s="25" t="s">
        <v>72</v>
      </c>
      <c r="E150" s="13">
        <v>1.0</v>
      </c>
      <c r="F150" s="18">
        <v>4.0</v>
      </c>
      <c r="G150" s="9"/>
      <c r="H150" s="21" t="s">
        <v>108</v>
      </c>
    </row>
    <row r="151">
      <c r="A151" s="60">
        <v>150.0</v>
      </c>
      <c r="B151" s="51" t="s">
        <v>242</v>
      </c>
      <c r="C151" s="49">
        <v>6.0</v>
      </c>
      <c r="D151" s="53" t="s">
        <v>72</v>
      </c>
      <c r="E151" s="49">
        <v>1.0</v>
      </c>
      <c r="F151" s="54">
        <v>5.0</v>
      </c>
      <c r="G151" s="46">
        <v>1.0</v>
      </c>
      <c r="H151" s="21" t="s">
        <v>99</v>
      </c>
    </row>
    <row r="152">
      <c r="A152" s="59">
        <v>151.0</v>
      </c>
      <c r="B152" s="14" t="s">
        <v>376</v>
      </c>
      <c r="C152" s="13">
        <v>6.0</v>
      </c>
      <c r="D152" s="25" t="s">
        <v>72</v>
      </c>
      <c r="E152" s="13">
        <v>1.0</v>
      </c>
      <c r="F152" s="18">
        <v>4.0</v>
      </c>
      <c r="G152" s="9"/>
      <c r="H152" s="21" t="s">
        <v>108</v>
      </c>
    </row>
    <row r="153">
      <c r="A153" s="59">
        <v>152.0</v>
      </c>
      <c r="B153" s="14" t="s">
        <v>436</v>
      </c>
      <c r="C153" s="13">
        <v>6.0</v>
      </c>
      <c r="D153" s="25" t="s">
        <v>72</v>
      </c>
      <c r="E153" s="13">
        <v>1.0</v>
      </c>
      <c r="F153" s="18">
        <v>4.0</v>
      </c>
      <c r="G153" s="9"/>
      <c r="H153" s="21" t="s">
        <v>134</v>
      </c>
    </row>
    <row r="154">
      <c r="A154" s="59">
        <v>153.0</v>
      </c>
      <c r="B154" s="14" t="s">
        <v>438</v>
      </c>
      <c r="C154" s="13">
        <v>6.0</v>
      </c>
      <c r="D154" s="25" t="s">
        <v>72</v>
      </c>
      <c r="E154" s="13">
        <v>1.0</v>
      </c>
      <c r="F154" s="18">
        <v>1.0</v>
      </c>
      <c r="G154" s="9"/>
      <c r="H154" s="21" t="s">
        <v>147</v>
      </c>
    </row>
    <row r="155">
      <c r="A155" s="59">
        <v>154.0</v>
      </c>
      <c r="B155" s="14" t="s">
        <v>441</v>
      </c>
      <c r="C155" s="13">
        <v>6.0</v>
      </c>
      <c r="D155" s="25" t="s">
        <v>72</v>
      </c>
      <c r="E155" s="13">
        <v>1.0</v>
      </c>
      <c r="F155" s="18">
        <v>2.0</v>
      </c>
      <c r="G155" s="9"/>
      <c r="H155" s="21" t="s">
        <v>134</v>
      </c>
    </row>
    <row r="156">
      <c r="A156" s="59">
        <v>155.0</v>
      </c>
      <c r="B156" s="14" t="s">
        <v>442</v>
      </c>
      <c r="C156" s="13">
        <v>6.0</v>
      </c>
      <c r="D156" s="25" t="s">
        <v>72</v>
      </c>
      <c r="E156" s="13">
        <v>1.0</v>
      </c>
      <c r="F156" s="18">
        <v>1.0</v>
      </c>
      <c r="G156" s="9"/>
      <c r="H156" s="21" t="s">
        <v>134</v>
      </c>
    </row>
    <row r="157">
      <c r="A157" s="59">
        <v>156.0</v>
      </c>
      <c r="B157" s="14" t="s">
        <v>443</v>
      </c>
      <c r="C157" s="13">
        <v>6.0</v>
      </c>
      <c r="D157" s="25" t="s">
        <v>72</v>
      </c>
      <c r="E157" s="13">
        <v>1.0</v>
      </c>
      <c r="F157" s="18">
        <v>1.0</v>
      </c>
      <c r="G157" s="9"/>
      <c r="H157" s="21" t="s">
        <v>147</v>
      </c>
    </row>
    <row r="158">
      <c r="A158" s="59">
        <v>157.0</v>
      </c>
      <c r="B158" s="14" t="s">
        <v>445</v>
      </c>
      <c r="C158" s="13">
        <v>6.0</v>
      </c>
      <c r="D158" s="25" t="s">
        <v>72</v>
      </c>
      <c r="E158" s="13">
        <v>1.0</v>
      </c>
      <c r="F158" s="18">
        <v>1.0</v>
      </c>
      <c r="G158" s="9"/>
      <c r="H158" s="21" t="s">
        <v>134</v>
      </c>
    </row>
    <row r="159">
      <c r="A159" s="59">
        <v>158.0</v>
      </c>
      <c r="B159" s="14" t="s">
        <v>440</v>
      </c>
      <c r="C159" s="13">
        <v>6.0</v>
      </c>
      <c r="D159" s="25" t="s">
        <v>72</v>
      </c>
      <c r="E159" s="13">
        <v>1.0</v>
      </c>
      <c r="F159" s="18">
        <v>1.0</v>
      </c>
      <c r="G159" s="9"/>
      <c r="H159" s="21" t="s">
        <v>147</v>
      </c>
    </row>
    <row r="160">
      <c r="A160" s="59">
        <v>159.0</v>
      </c>
      <c r="B160" s="14" t="s">
        <v>386</v>
      </c>
      <c r="C160" s="13">
        <v>6.0</v>
      </c>
      <c r="D160" s="25" t="s">
        <v>72</v>
      </c>
      <c r="E160" s="13">
        <v>1.0</v>
      </c>
      <c r="F160" s="18">
        <v>3.0</v>
      </c>
      <c r="G160" s="9"/>
      <c r="H160" s="21" t="s">
        <v>108</v>
      </c>
    </row>
    <row r="161">
      <c r="A161" s="59">
        <v>160.0</v>
      </c>
      <c r="B161" s="14" t="s">
        <v>451</v>
      </c>
      <c r="C161" s="13">
        <v>6.0</v>
      </c>
      <c r="D161" s="25" t="s">
        <v>72</v>
      </c>
      <c r="E161" s="13">
        <v>1.0</v>
      </c>
      <c r="F161" s="18">
        <v>2.0</v>
      </c>
      <c r="G161" s="9"/>
      <c r="H161" s="21" t="s">
        <v>134</v>
      </c>
    </row>
    <row r="162">
      <c r="A162" s="59">
        <v>161.0</v>
      </c>
      <c r="B162" s="14" t="s">
        <v>454</v>
      </c>
      <c r="C162" s="13">
        <v>6.0</v>
      </c>
      <c r="D162" s="25" t="s">
        <v>72</v>
      </c>
      <c r="E162" s="13">
        <v>1.0</v>
      </c>
      <c r="F162" s="18">
        <v>1.0</v>
      </c>
      <c r="G162" s="9"/>
      <c r="H162" s="21" t="s">
        <v>99</v>
      </c>
    </row>
    <row r="163">
      <c r="A163" s="59">
        <v>162.0</v>
      </c>
      <c r="B163" s="14" t="s">
        <v>429</v>
      </c>
      <c r="C163" s="13">
        <v>6.0</v>
      </c>
      <c r="D163" s="25" t="s">
        <v>72</v>
      </c>
      <c r="E163" s="13">
        <v>1.0</v>
      </c>
      <c r="F163" s="18">
        <v>3.0</v>
      </c>
      <c r="G163" s="9"/>
      <c r="H163" s="21" t="s">
        <v>147</v>
      </c>
    </row>
    <row r="164">
      <c r="A164" s="59">
        <v>163.0</v>
      </c>
      <c r="B164" s="14" t="s">
        <v>456</v>
      </c>
      <c r="C164" s="13">
        <v>6.0</v>
      </c>
      <c r="D164" s="25" t="s">
        <v>72</v>
      </c>
      <c r="E164" s="13">
        <v>1.0</v>
      </c>
      <c r="F164" s="18">
        <v>1.0</v>
      </c>
      <c r="G164" s="9"/>
      <c r="H164" s="21" t="s">
        <v>43</v>
      </c>
    </row>
    <row r="165">
      <c r="A165" s="59">
        <v>164.0</v>
      </c>
      <c r="B165" s="14" t="s">
        <v>220</v>
      </c>
      <c r="C165" s="13">
        <v>6.0</v>
      </c>
      <c r="D165" s="25" t="s">
        <v>72</v>
      </c>
      <c r="E165" s="13">
        <v>1.0</v>
      </c>
      <c r="F165" s="18">
        <v>4.0</v>
      </c>
      <c r="G165" s="9"/>
      <c r="H165" s="21" t="s">
        <v>99</v>
      </c>
    </row>
    <row r="166">
      <c r="A166" s="60">
        <v>165.0</v>
      </c>
      <c r="B166" s="51" t="s">
        <v>385</v>
      </c>
      <c r="C166" s="49">
        <v>6.0</v>
      </c>
      <c r="D166" s="53" t="s">
        <v>72</v>
      </c>
      <c r="E166" s="49">
        <v>1.0</v>
      </c>
      <c r="F166" s="54">
        <v>5.0</v>
      </c>
      <c r="G166" s="46">
        <v>1.0</v>
      </c>
      <c r="H166" s="21" t="s">
        <v>108</v>
      </c>
    </row>
    <row r="167">
      <c r="A167" s="60">
        <v>166.0</v>
      </c>
      <c r="B167" s="51" t="s">
        <v>460</v>
      </c>
      <c r="C167" s="49">
        <v>6.0</v>
      </c>
      <c r="D167" s="53" t="s">
        <v>72</v>
      </c>
      <c r="E167" s="49">
        <v>1.0</v>
      </c>
      <c r="F167" s="54">
        <v>5.0</v>
      </c>
      <c r="G167" s="46">
        <v>1.0</v>
      </c>
      <c r="H167" s="21" t="s">
        <v>152</v>
      </c>
    </row>
    <row r="168">
      <c r="A168" s="59">
        <v>167.0</v>
      </c>
      <c r="B168" s="14" t="s">
        <v>463</v>
      </c>
      <c r="C168" s="13">
        <v>6.0</v>
      </c>
      <c r="D168" s="25" t="s">
        <v>72</v>
      </c>
      <c r="E168" s="13">
        <v>1.0</v>
      </c>
      <c r="F168" s="18">
        <v>2.0</v>
      </c>
      <c r="G168" s="9"/>
      <c r="H168" s="21" t="s">
        <v>43</v>
      </c>
    </row>
    <row r="169">
      <c r="A169" s="59">
        <v>168.0</v>
      </c>
      <c r="B169" s="14" t="s">
        <v>466</v>
      </c>
      <c r="C169" s="13">
        <v>6.0</v>
      </c>
      <c r="D169" s="25" t="s">
        <v>72</v>
      </c>
      <c r="E169" s="13">
        <v>1.0</v>
      </c>
      <c r="F169" s="18">
        <v>3.0</v>
      </c>
      <c r="G169" s="9"/>
      <c r="H169" s="21" t="s">
        <v>134</v>
      </c>
    </row>
    <row r="170">
      <c r="A170" s="59">
        <v>169.0</v>
      </c>
      <c r="B170" s="14" t="s">
        <v>468</v>
      </c>
      <c r="C170" s="13">
        <v>6.0</v>
      </c>
      <c r="D170" s="25" t="s">
        <v>72</v>
      </c>
      <c r="E170" s="13">
        <v>1.0</v>
      </c>
      <c r="F170" s="18">
        <v>1.0</v>
      </c>
      <c r="G170" s="9"/>
      <c r="H170" s="21" t="s">
        <v>43</v>
      </c>
    </row>
    <row r="171">
      <c r="A171" s="59">
        <v>170.0</v>
      </c>
      <c r="B171" s="14" t="s">
        <v>470</v>
      </c>
      <c r="C171" s="13">
        <v>6.0</v>
      </c>
      <c r="D171" s="25" t="s">
        <v>72</v>
      </c>
      <c r="E171" s="13">
        <v>1.0</v>
      </c>
      <c r="F171" s="18">
        <v>4.0</v>
      </c>
      <c r="G171" s="9"/>
      <c r="H171" s="21" t="s">
        <v>134</v>
      </c>
    </row>
    <row r="172">
      <c r="A172" s="59">
        <v>171.0</v>
      </c>
      <c r="B172" s="14" t="s">
        <v>471</v>
      </c>
      <c r="C172" s="13">
        <v>6.0</v>
      </c>
      <c r="D172" s="25" t="s">
        <v>72</v>
      </c>
      <c r="E172" s="13">
        <v>1.0</v>
      </c>
      <c r="F172" s="18">
        <v>1.0</v>
      </c>
      <c r="G172" s="9"/>
      <c r="H172" s="21" t="s">
        <v>134</v>
      </c>
    </row>
    <row r="173">
      <c r="A173" s="59">
        <v>172.0</v>
      </c>
      <c r="B173" s="14" t="s">
        <v>259</v>
      </c>
      <c r="C173" s="13">
        <v>6.0</v>
      </c>
      <c r="D173" s="25" t="s">
        <v>72</v>
      </c>
      <c r="E173" s="13">
        <v>1.0</v>
      </c>
      <c r="F173" s="18">
        <v>4.0</v>
      </c>
      <c r="G173" s="9"/>
      <c r="H173" s="21" t="s">
        <v>134</v>
      </c>
    </row>
    <row r="174">
      <c r="A174" s="59">
        <v>173.0</v>
      </c>
      <c r="B174" s="14" t="s">
        <v>473</v>
      </c>
      <c r="C174" s="13">
        <v>6.0</v>
      </c>
      <c r="D174" s="25" t="s">
        <v>72</v>
      </c>
      <c r="E174" s="13">
        <v>1.0</v>
      </c>
      <c r="F174" s="18">
        <v>4.0</v>
      </c>
      <c r="G174" s="9"/>
      <c r="H174" s="21" t="s">
        <v>134</v>
      </c>
    </row>
    <row r="175">
      <c r="A175" s="59">
        <v>174.0</v>
      </c>
      <c r="B175" s="14" t="s">
        <v>474</v>
      </c>
      <c r="C175" s="13">
        <v>6.0</v>
      </c>
      <c r="D175" s="25" t="s">
        <v>72</v>
      </c>
      <c r="E175" s="13">
        <v>1.0</v>
      </c>
      <c r="F175" s="18">
        <v>1.0</v>
      </c>
      <c r="G175" s="9"/>
      <c r="H175" s="21" t="s">
        <v>43</v>
      </c>
    </row>
    <row r="176">
      <c r="A176" s="59">
        <v>175.0</v>
      </c>
      <c r="B176" s="14" t="s">
        <v>475</v>
      </c>
      <c r="C176" s="13">
        <v>6.0</v>
      </c>
      <c r="D176" s="25" t="s">
        <v>72</v>
      </c>
      <c r="E176" s="13">
        <v>1.0</v>
      </c>
      <c r="F176" s="18">
        <v>5.0</v>
      </c>
      <c r="G176" s="9"/>
      <c r="H176" s="21" t="s">
        <v>43</v>
      </c>
    </row>
    <row r="177">
      <c r="A177" s="59">
        <v>176.0</v>
      </c>
      <c r="B177" s="14" t="s">
        <v>478</v>
      </c>
      <c r="C177" s="13">
        <v>6.0</v>
      </c>
      <c r="D177" s="25" t="s">
        <v>72</v>
      </c>
      <c r="E177" s="13">
        <v>1.0</v>
      </c>
      <c r="F177" s="18">
        <v>2.0</v>
      </c>
      <c r="G177" s="9"/>
      <c r="H177" s="21" t="s">
        <v>99</v>
      </c>
    </row>
    <row r="178">
      <c r="A178" s="59">
        <v>177.0</v>
      </c>
      <c r="B178" s="14" t="s">
        <v>479</v>
      </c>
      <c r="C178" s="13">
        <v>6.0</v>
      </c>
      <c r="D178" s="25" t="s">
        <v>72</v>
      </c>
      <c r="E178" s="13">
        <v>1.0</v>
      </c>
      <c r="F178" s="18">
        <v>2.0</v>
      </c>
      <c r="G178" s="9"/>
      <c r="H178" s="21" t="s">
        <v>99</v>
      </c>
    </row>
    <row r="179">
      <c r="A179" s="59">
        <v>178.0</v>
      </c>
      <c r="B179" s="14" t="s">
        <v>481</v>
      </c>
      <c r="C179" s="13">
        <v>6.0</v>
      </c>
      <c r="D179" s="25" t="s">
        <v>72</v>
      </c>
      <c r="E179" s="13">
        <v>1.0</v>
      </c>
      <c r="F179" s="18">
        <v>1.0</v>
      </c>
      <c r="G179" s="9"/>
      <c r="H179" s="21" t="s">
        <v>99</v>
      </c>
    </row>
    <row r="180">
      <c r="A180" s="59">
        <v>179.0</v>
      </c>
      <c r="B180" s="14" t="s">
        <v>435</v>
      </c>
      <c r="C180" s="13">
        <v>6.0</v>
      </c>
      <c r="D180" s="25" t="s">
        <v>72</v>
      </c>
      <c r="E180" s="13">
        <v>1.0</v>
      </c>
      <c r="F180" s="18">
        <v>2.0</v>
      </c>
      <c r="G180" s="9"/>
      <c r="H180" s="21" t="s">
        <v>147</v>
      </c>
    </row>
    <row r="181">
      <c r="A181" s="59">
        <v>180.0</v>
      </c>
      <c r="B181" s="14" t="s">
        <v>484</v>
      </c>
      <c r="C181" s="13">
        <v>6.0</v>
      </c>
      <c r="D181" s="25" t="s">
        <v>72</v>
      </c>
      <c r="E181" s="13">
        <v>1.0</v>
      </c>
      <c r="F181" s="18">
        <v>4.0</v>
      </c>
      <c r="G181" s="9"/>
      <c r="H181" s="21" t="s">
        <v>43</v>
      </c>
    </row>
    <row r="182">
      <c r="A182" s="59">
        <v>181.0</v>
      </c>
      <c r="B182" s="14" t="s">
        <v>142</v>
      </c>
      <c r="C182" s="13">
        <v>6.0</v>
      </c>
      <c r="D182" s="25" t="s">
        <v>72</v>
      </c>
      <c r="E182" s="13">
        <v>1.0</v>
      </c>
      <c r="F182" s="18">
        <v>1.0</v>
      </c>
      <c r="G182" s="9"/>
      <c r="H182" s="21" t="s">
        <v>147</v>
      </c>
    </row>
    <row r="183">
      <c r="A183" s="59">
        <v>182.0</v>
      </c>
      <c r="B183" s="14" t="s">
        <v>448</v>
      </c>
      <c r="C183" s="13">
        <v>6.0</v>
      </c>
      <c r="D183" s="25" t="s">
        <v>72</v>
      </c>
      <c r="E183" s="13">
        <v>1.0</v>
      </c>
      <c r="F183" s="18">
        <v>1.0</v>
      </c>
      <c r="G183" s="9"/>
      <c r="H183" s="21" t="s">
        <v>147</v>
      </c>
    </row>
    <row r="184">
      <c r="A184" s="59">
        <v>183.0</v>
      </c>
      <c r="B184" s="14" t="s">
        <v>401</v>
      </c>
      <c r="C184" s="13">
        <v>6.0</v>
      </c>
      <c r="D184" s="25" t="s">
        <v>72</v>
      </c>
      <c r="E184" s="13">
        <v>1.0</v>
      </c>
      <c r="F184" s="18">
        <v>1.0</v>
      </c>
      <c r="G184" s="9"/>
      <c r="H184" s="21" t="s">
        <v>108</v>
      </c>
    </row>
    <row r="185">
      <c r="A185" s="59">
        <v>184.0</v>
      </c>
      <c r="B185" s="14" t="s">
        <v>490</v>
      </c>
      <c r="C185" s="13">
        <v>6.0</v>
      </c>
      <c r="D185" s="25" t="s">
        <v>72</v>
      </c>
      <c r="E185" s="13">
        <v>1.0</v>
      </c>
      <c r="F185" s="18">
        <v>1.0</v>
      </c>
      <c r="G185" s="9"/>
      <c r="H185" s="21" t="s">
        <v>108</v>
      </c>
    </row>
    <row r="186">
      <c r="A186" s="59">
        <v>185.0</v>
      </c>
      <c r="B186" s="14" t="s">
        <v>491</v>
      </c>
      <c r="C186" s="13">
        <v>6.0</v>
      </c>
      <c r="D186" s="25" t="s">
        <v>72</v>
      </c>
      <c r="E186" s="13">
        <v>1.0</v>
      </c>
      <c r="F186" s="18">
        <v>3.0</v>
      </c>
      <c r="G186" s="9"/>
      <c r="H186" s="21" t="s">
        <v>152</v>
      </c>
    </row>
    <row r="187">
      <c r="A187" s="59">
        <v>186.0</v>
      </c>
      <c r="B187" s="14" t="s">
        <v>250</v>
      </c>
      <c r="C187" s="13">
        <v>6.0</v>
      </c>
      <c r="D187" s="25" t="s">
        <v>72</v>
      </c>
      <c r="E187" s="13">
        <v>1.0</v>
      </c>
      <c r="F187" s="18">
        <v>3.0</v>
      </c>
      <c r="G187" s="9"/>
      <c r="H187" s="21" t="s">
        <v>108</v>
      </c>
    </row>
    <row r="188">
      <c r="A188" s="59">
        <v>187.0</v>
      </c>
      <c r="B188" s="14" t="s">
        <v>494</v>
      </c>
      <c r="C188" s="13">
        <v>6.0</v>
      </c>
      <c r="D188" s="25" t="s">
        <v>72</v>
      </c>
      <c r="E188" s="13">
        <v>1.0</v>
      </c>
      <c r="F188" s="18">
        <v>2.0</v>
      </c>
      <c r="G188" s="9"/>
      <c r="H188" s="21" t="s">
        <v>152</v>
      </c>
    </row>
    <row r="189">
      <c r="A189" s="59">
        <v>188.0</v>
      </c>
      <c r="B189" s="14" t="s">
        <v>487</v>
      </c>
      <c r="C189" s="13">
        <v>6.0</v>
      </c>
      <c r="D189" s="25" t="s">
        <v>72</v>
      </c>
      <c r="E189" s="13">
        <v>1.0</v>
      </c>
      <c r="F189" s="18">
        <v>1.0</v>
      </c>
      <c r="G189" s="9"/>
      <c r="H189" s="21" t="s">
        <v>134</v>
      </c>
    </row>
    <row r="190">
      <c r="A190" s="59">
        <v>189.0</v>
      </c>
      <c r="B190" s="14" t="s">
        <v>499</v>
      </c>
      <c r="C190" s="13">
        <v>6.0</v>
      </c>
      <c r="D190" s="25" t="s">
        <v>72</v>
      </c>
      <c r="E190" s="13">
        <v>1.0</v>
      </c>
      <c r="F190" s="18">
        <v>2.0</v>
      </c>
      <c r="G190" s="9"/>
      <c r="H190" s="21" t="s">
        <v>99</v>
      </c>
    </row>
    <row r="191">
      <c r="A191" s="60">
        <v>190.0</v>
      </c>
      <c r="B191" s="51" t="s">
        <v>431</v>
      </c>
      <c r="C191" s="49">
        <v>6.0</v>
      </c>
      <c r="D191" s="53" t="s">
        <v>72</v>
      </c>
      <c r="E191" s="49">
        <v>1.0</v>
      </c>
      <c r="F191" s="54">
        <v>5.0</v>
      </c>
      <c r="G191" s="46">
        <v>1.0</v>
      </c>
      <c r="H191" s="21" t="s">
        <v>147</v>
      </c>
    </row>
    <row r="192">
      <c r="A192" s="59">
        <v>191.0</v>
      </c>
      <c r="B192" s="14" t="s">
        <v>503</v>
      </c>
      <c r="C192" s="13">
        <v>6.0</v>
      </c>
      <c r="D192" s="25" t="s">
        <v>72</v>
      </c>
      <c r="E192" s="13">
        <v>1.0</v>
      </c>
      <c r="F192" s="18">
        <v>1.0</v>
      </c>
      <c r="G192" s="9"/>
      <c r="H192" s="21" t="s">
        <v>152</v>
      </c>
    </row>
    <row r="193">
      <c r="A193" s="59">
        <v>192.0</v>
      </c>
      <c r="B193" s="14" t="s">
        <v>506</v>
      </c>
      <c r="C193" s="13">
        <v>6.0</v>
      </c>
      <c r="D193" s="25" t="s">
        <v>72</v>
      </c>
      <c r="E193" s="13">
        <v>1.0</v>
      </c>
      <c r="F193" s="18">
        <v>1.0</v>
      </c>
      <c r="G193" s="9"/>
      <c r="H193" s="21" t="s">
        <v>152</v>
      </c>
    </row>
    <row r="194">
      <c r="A194" s="60">
        <v>193.0</v>
      </c>
      <c r="B194" s="51" t="s">
        <v>248</v>
      </c>
      <c r="C194" s="49">
        <v>6.0</v>
      </c>
      <c r="D194" s="53" t="s">
        <v>72</v>
      </c>
      <c r="E194" s="49">
        <v>1.0</v>
      </c>
      <c r="F194" s="54">
        <v>5.0</v>
      </c>
      <c r="G194" s="46">
        <v>2.0</v>
      </c>
      <c r="H194" s="21" t="s">
        <v>147</v>
      </c>
      <c r="I194" s="27"/>
      <c r="J194" s="18" t="s">
        <v>105</v>
      </c>
    </row>
    <row r="195">
      <c r="A195" s="59">
        <v>194.0</v>
      </c>
      <c r="B195" s="14" t="s">
        <v>509</v>
      </c>
      <c r="C195" s="13">
        <v>6.0</v>
      </c>
      <c r="D195" s="25" t="s">
        <v>72</v>
      </c>
      <c r="E195" s="13">
        <v>1.0</v>
      </c>
      <c r="F195" s="18">
        <v>1.0</v>
      </c>
      <c r="G195" s="9"/>
      <c r="H195" s="21" t="s">
        <v>43</v>
      </c>
    </row>
    <row r="196">
      <c r="A196" s="59">
        <v>195.0</v>
      </c>
      <c r="B196" s="14" t="s">
        <v>453</v>
      </c>
      <c r="C196" s="13">
        <v>6.0</v>
      </c>
      <c r="D196" s="25" t="s">
        <v>72</v>
      </c>
      <c r="E196" s="78">
        <v>1.0</v>
      </c>
      <c r="F196" s="18">
        <v>1.0</v>
      </c>
      <c r="G196" s="9"/>
      <c r="H196" s="21" t="s">
        <v>147</v>
      </c>
    </row>
    <row r="197">
      <c r="A197" s="59">
        <v>196.0</v>
      </c>
      <c r="B197" s="14" t="s">
        <v>511</v>
      </c>
      <c r="C197" s="13">
        <v>6.0</v>
      </c>
      <c r="D197" s="25" t="s">
        <v>72</v>
      </c>
      <c r="E197" s="13">
        <v>1.0</v>
      </c>
      <c r="F197" s="18">
        <v>1.0</v>
      </c>
      <c r="G197" s="9"/>
      <c r="H197" s="21" t="s">
        <v>43</v>
      </c>
    </row>
    <row r="198">
      <c r="A198" s="59">
        <v>197.0</v>
      </c>
      <c r="B198" s="14" t="s">
        <v>406</v>
      </c>
      <c r="C198" s="13">
        <v>6.0</v>
      </c>
      <c r="D198" s="25" t="s">
        <v>72</v>
      </c>
      <c r="E198" s="13">
        <v>1.0</v>
      </c>
      <c r="F198" s="18">
        <v>4.0</v>
      </c>
      <c r="G198" s="9"/>
      <c r="H198" s="21" t="s">
        <v>108</v>
      </c>
    </row>
    <row r="199">
      <c r="A199" s="59">
        <v>198.0</v>
      </c>
      <c r="B199" s="14" t="s">
        <v>405</v>
      </c>
      <c r="C199" s="13">
        <v>6.0</v>
      </c>
      <c r="D199" s="25" t="s">
        <v>72</v>
      </c>
      <c r="E199" s="13">
        <v>1.0</v>
      </c>
      <c r="F199" s="18">
        <v>1.0</v>
      </c>
      <c r="G199" s="9"/>
      <c r="H199" s="21" t="s">
        <v>108</v>
      </c>
    </row>
    <row r="200">
      <c r="A200" s="59">
        <v>199.0</v>
      </c>
      <c r="B200" s="14" t="s">
        <v>411</v>
      </c>
      <c r="C200" s="13">
        <v>6.0</v>
      </c>
      <c r="D200" s="25" t="s">
        <v>72</v>
      </c>
      <c r="E200" s="13">
        <v>1.0</v>
      </c>
      <c r="F200" s="18">
        <v>1.0</v>
      </c>
      <c r="G200" s="9"/>
      <c r="H200" s="21" t="s">
        <v>108</v>
      </c>
    </row>
    <row r="201">
      <c r="A201" s="59">
        <v>200.0</v>
      </c>
      <c r="B201" s="14" t="s">
        <v>514</v>
      </c>
      <c r="C201" s="13">
        <v>6.0</v>
      </c>
      <c r="D201" s="25" t="s">
        <v>72</v>
      </c>
      <c r="E201" s="13">
        <v>1.0</v>
      </c>
      <c r="F201" s="18">
        <v>1.0</v>
      </c>
      <c r="G201" s="9"/>
      <c r="H201" s="21" t="s">
        <v>43</v>
      </c>
    </row>
    <row r="202">
      <c r="D202" s="79"/>
      <c r="G202" s="80"/>
    </row>
    <row r="203">
      <c r="D203" s="79"/>
      <c r="G203" s="80"/>
    </row>
    <row r="204">
      <c r="D204" s="79"/>
      <c r="G204" s="80"/>
    </row>
    <row r="205">
      <c r="D205" s="79"/>
      <c r="G205" s="80"/>
    </row>
    <row r="206">
      <c r="D206" s="79"/>
      <c r="G206" s="80"/>
    </row>
    <row r="207">
      <c r="D207" s="79"/>
      <c r="G207" s="80"/>
    </row>
    <row r="208">
      <c r="D208" s="79"/>
      <c r="G208" s="80"/>
    </row>
    <row r="209">
      <c r="D209" s="79"/>
      <c r="G209" s="80"/>
    </row>
    <row r="210">
      <c r="D210" s="79"/>
      <c r="G210" s="80"/>
    </row>
    <row r="211">
      <c r="D211" s="79"/>
      <c r="G211" s="80"/>
    </row>
    <row r="212">
      <c r="D212" s="79"/>
      <c r="G212" s="80"/>
    </row>
    <row r="213">
      <c r="D213" s="79"/>
      <c r="G213" s="80"/>
    </row>
    <row r="214">
      <c r="D214" s="79"/>
      <c r="G214" s="80"/>
    </row>
    <row r="215">
      <c r="D215" s="79"/>
      <c r="G215" s="80"/>
    </row>
    <row r="216">
      <c r="D216" s="79"/>
      <c r="G216" s="80"/>
    </row>
    <row r="217">
      <c r="D217" s="79"/>
      <c r="G217" s="80"/>
    </row>
    <row r="218">
      <c r="D218" s="79"/>
      <c r="G218" s="80"/>
    </row>
    <row r="219">
      <c r="D219" s="79"/>
      <c r="G219" s="80"/>
    </row>
    <row r="220">
      <c r="D220" s="79"/>
      <c r="G220" s="80"/>
    </row>
    <row r="221">
      <c r="D221" s="79"/>
      <c r="G221" s="80"/>
    </row>
    <row r="222">
      <c r="D222" s="79"/>
      <c r="G222" s="80"/>
    </row>
    <row r="223">
      <c r="D223" s="79"/>
      <c r="G223" s="80"/>
    </row>
    <row r="224">
      <c r="D224" s="79"/>
      <c r="G224" s="80"/>
    </row>
    <row r="225">
      <c r="D225" s="79"/>
      <c r="G225" s="80"/>
    </row>
    <row r="226">
      <c r="D226" s="79"/>
      <c r="G226" s="80"/>
    </row>
    <row r="227">
      <c r="D227" s="79"/>
      <c r="G227" s="80"/>
    </row>
    <row r="228">
      <c r="D228" s="79"/>
      <c r="G228" s="80"/>
    </row>
    <row r="229">
      <c r="D229" s="79"/>
      <c r="G229" s="80"/>
    </row>
    <row r="230">
      <c r="D230" s="79"/>
      <c r="G230" s="80"/>
    </row>
    <row r="231">
      <c r="D231" s="79"/>
      <c r="G231" s="80"/>
    </row>
    <row r="232">
      <c r="D232" s="79"/>
      <c r="G232" s="80"/>
    </row>
    <row r="233">
      <c r="D233" s="79"/>
      <c r="G233" s="80"/>
    </row>
    <row r="234">
      <c r="D234" s="79"/>
      <c r="G234" s="80"/>
    </row>
    <row r="235">
      <c r="D235" s="79"/>
      <c r="G235" s="80"/>
    </row>
    <row r="236">
      <c r="D236" s="79"/>
      <c r="G236" s="80"/>
    </row>
    <row r="237">
      <c r="D237" s="79"/>
      <c r="G237" s="80"/>
    </row>
    <row r="238">
      <c r="D238" s="79"/>
      <c r="G238" s="80"/>
    </row>
    <row r="239">
      <c r="D239" s="79"/>
      <c r="G239" s="80"/>
    </row>
    <row r="240">
      <c r="D240" s="79"/>
      <c r="G240" s="80"/>
    </row>
    <row r="241">
      <c r="D241" s="79"/>
      <c r="G241" s="80"/>
    </row>
    <row r="242">
      <c r="D242" s="79"/>
      <c r="G242" s="80"/>
    </row>
    <row r="243">
      <c r="D243" s="79"/>
      <c r="G243" s="80"/>
    </row>
    <row r="244">
      <c r="D244" s="79"/>
      <c r="G244" s="80"/>
    </row>
    <row r="245">
      <c r="D245" s="79"/>
      <c r="G245" s="80"/>
    </row>
    <row r="246">
      <c r="D246" s="79"/>
      <c r="G246" s="80"/>
    </row>
    <row r="247">
      <c r="D247" s="79"/>
      <c r="G247" s="80"/>
    </row>
    <row r="248">
      <c r="D248" s="79"/>
      <c r="G248" s="80"/>
    </row>
    <row r="249">
      <c r="D249" s="79"/>
      <c r="G249" s="80"/>
    </row>
    <row r="250">
      <c r="D250" s="79"/>
      <c r="G250" s="80"/>
    </row>
    <row r="251">
      <c r="D251" s="79"/>
      <c r="G251" s="80"/>
    </row>
    <row r="252">
      <c r="D252" s="79"/>
      <c r="G252" s="80"/>
    </row>
    <row r="253">
      <c r="D253" s="79"/>
      <c r="G253" s="80"/>
    </row>
    <row r="254">
      <c r="D254" s="79"/>
      <c r="G254" s="80"/>
    </row>
    <row r="255">
      <c r="D255" s="79"/>
      <c r="G255" s="80"/>
    </row>
    <row r="256">
      <c r="D256" s="79"/>
      <c r="G256" s="80"/>
    </row>
    <row r="257">
      <c r="D257" s="79"/>
      <c r="G257" s="80"/>
    </row>
    <row r="258">
      <c r="D258" s="79"/>
      <c r="G258" s="80"/>
    </row>
    <row r="259">
      <c r="D259" s="79"/>
      <c r="G259" s="80"/>
    </row>
    <row r="260">
      <c r="D260" s="79"/>
      <c r="G260" s="80"/>
    </row>
    <row r="261">
      <c r="D261" s="79"/>
      <c r="G261" s="80"/>
    </row>
    <row r="262">
      <c r="D262" s="79"/>
      <c r="G262" s="80"/>
    </row>
    <row r="263">
      <c r="D263" s="79"/>
      <c r="G263" s="80"/>
    </row>
    <row r="264">
      <c r="D264" s="79"/>
      <c r="G264" s="80"/>
    </row>
    <row r="265">
      <c r="D265" s="79"/>
      <c r="G265" s="80"/>
    </row>
    <row r="266">
      <c r="D266" s="79"/>
      <c r="G266" s="80"/>
    </row>
    <row r="267">
      <c r="D267" s="79"/>
      <c r="G267" s="80"/>
    </row>
    <row r="268">
      <c r="D268" s="79"/>
      <c r="G268" s="80"/>
    </row>
    <row r="269">
      <c r="D269" s="79"/>
      <c r="G269" s="80"/>
    </row>
    <row r="270">
      <c r="D270" s="79"/>
      <c r="G270" s="80"/>
    </row>
    <row r="271">
      <c r="D271" s="79"/>
      <c r="G271" s="80"/>
    </row>
    <row r="272">
      <c r="D272" s="79"/>
      <c r="G272" s="80"/>
    </row>
    <row r="273">
      <c r="D273" s="79"/>
      <c r="G273" s="80"/>
    </row>
    <row r="274">
      <c r="D274" s="79"/>
      <c r="G274" s="80"/>
    </row>
    <row r="275">
      <c r="D275" s="79"/>
      <c r="G275" s="80"/>
    </row>
    <row r="276">
      <c r="D276" s="79"/>
      <c r="G276" s="80"/>
    </row>
    <row r="277">
      <c r="D277" s="79"/>
      <c r="G277" s="80"/>
    </row>
    <row r="278">
      <c r="D278" s="79"/>
      <c r="G278" s="80"/>
    </row>
    <row r="279">
      <c r="D279" s="79"/>
      <c r="G279" s="80"/>
    </row>
    <row r="280">
      <c r="D280" s="79"/>
      <c r="G280" s="80"/>
    </row>
    <row r="281">
      <c r="D281" s="79"/>
      <c r="G281" s="80"/>
    </row>
    <row r="282">
      <c r="D282" s="79"/>
      <c r="G282" s="80"/>
    </row>
    <row r="283">
      <c r="D283" s="79"/>
      <c r="G283" s="80"/>
    </row>
    <row r="284">
      <c r="D284" s="79"/>
      <c r="G284" s="80"/>
    </row>
    <row r="285">
      <c r="D285" s="79"/>
      <c r="G285" s="80"/>
    </row>
    <row r="286">
      <c r="D286" s="79"/>
      <c r="G286" s="80"/>
    </row>
    <row r="287">
      <c r="D287" s="79"/>
      <c r="G287" s="80"/>
    </row>
    <row r="288">
      <c r="D288" s="79"/>
      <c r="G288" s="80"/>
    </row>
    <row r="289">
      <c r="D289" s="79"/>
      <c r="G289" s="80"/>
    </row>
    <row r="290">
      <c r="D290" s="79"/>
      <c r="G290" s="80"/>
    </row>
    <row r="291">
      <c r="D291" s="79"/>
      <c r="G291" s="80"/>
    </row>
    <row r="292">
      <c r="D292" s="79"/>
      <c r="G292" s="80"/>
    </row>
    <row r="293">
      <c r="D293" s="79"/>
      <c r="G293" s="80"/>
    </row>
    <row r="294">
      <c r="D294" s="79"/>
      <c r="G294" s="80"/>
    </row>
    <row r="295">
      <c r="D295" s="79"/>
      <c r="G295" s="80"/>
    </row>
    <row r="296">
      <c r="D296" s="79"/>
      <c r="G296" s="80"/>
    </row>
    <row r="297">
      <c r="D297" s="79"/>
      <c r="G297" s="80"/>
    </row>
    <row r="298">
      <c r="D298" s="79"/>
      <c r="G298" s="80"/>
    </row>
    <row r="299">
      <c r="D299" s="79"/>
      <c r="G299" s="80"/>
    </row>
    <row r="300">
      <c r="D300" s="79"/>
      <c r="G300" s="80"/>
    </row>
    <row r="301">
      <c r="D301" s="79"/>
      <c r="G301" s="80"/>
    </row>
    <row r="302">
      <c r="D302" s="79"/>
      <c r="G302" s="80"/>
    </row>
    <row r="303">
      <c r="D303" s="79"/>
      <c r="G303" s="80"/>
    </row>
    <row r="304">
      <c r="D304" s="79"/>
      <c r="G304" s="80"/>
    </row>
    <row r="305">
      <c r="D305" s="79"/>
      <c r="G305" s="80"/>
    </row>
    <row r="306">
      <c r="D306" s="79"/>
      <c r="G306" s="80"/>
    </row>
    <row r="307">
      <c r="D307" s="79"/>
      <c r="G307" s="80"/>
    </row>
    <row r="308">
      <c r="D308" s="79"/>
      <c r="G308" s="80"/>
    </row>
    <row r="309">
      <c r="D309" s="79"/>
      <c r="G309" s="80"/>
    </row>
    <row r="310">
      <c r="D310" s="79"/>
      <c r="G310" s="80"/>
    </row>
    <row r="311">
      <c r="D311" s="79"/>
      <c r="G311" s="80"/>
    </row>
    <row r="312">
      <c r="D312" s="79"/>
      <c r="G312" s="80"/>
    </row>
    <row r="313">
      <c r="D313" s="79"/>
      <c r="G313" s="80"/>
    </row>
    <row r="314">
      <c r="D314" s="79"/>
      <c r="G314" s="80"/>
    </row>
    <row r="315">
      <c r="D315" s="79"/>
      <c r="G315" s="80"/>
    </row>
    <row r="316">
      <c r="D316" s="79"/>
      <c r="G316" s="80"/>
    </row>
    <row r="317">
      <c r="D317" s="79"/>
      <c r="G317" s="80"/>
    </row>
    <row r="318">
      <c r="D318" s="79"/>
      <c r="G318" s="80"/>
    </row>
    <row r="319">
      <c r="D319" s="79"/>
      <c r="G319" s="80"/>
    </row>
    <row r="320">
      <c r="D320" s="79"/>
      <c r="G320" s="80"/>
    </row>
    <row r="321">
      <c r="D321" s="79"/>
      <c r="G321" s="80"/>
    </row>
    <row r="322">
      <c r="D322" s="79"/>
      <c r="G322" s="80"/>
    </row>
    <row r="323">
      <c r="D323" s="79"/>
      <c r="G323" s="80"/>
    </row>
    <row r="324">
      <c r="D324" s="79"/>
      <c r="G324" s="80"/>
    </row>
    <row r="325">
      <c r="D325" s="79"/>
      <c r="G325" s="80"/>
    </row>
    <row r="326">
      <c r="D326" s="79"/>
      <c r="G326" s="80"/>
    </row>
    <row r="327">
      <c r="D327" s="79"/>
      <c r="G327" s="80"/>
    </row>
    <row r="328">
      <c r="D328" s="79"/>
      <c r="G328" s="80"/>
    </row>
    <row r="329">
      <c r="D329" s="79"/>
      <c r="G329" s="80"/>
    </row>
    <row r="330">
      <c r="D330" s="79"/>
      <c r="G330" s="80"/>
    </row>
    <row r="331">
      <c r="D331" s="79"/>
      <c r="G331" s="80"/>
    </row>
    <row r="332">
      <c r="D332" s="79"/>
      <c r="G332" s="80"/>
    </row>
    <row r="333">
      <c r="D333" s="79"/>
      <c r="G333" s="80"/>
    </row>
    <row r="334">
      <c r="D334" s="79"/>
      <c r="G334" s="80"/>
    </row>
    <row r="335">
      <c r="D335" s="79"/>
      <c r="G335" s="80"/>
    </row>
    <row r="336">
      <c r="D336" s="79"/>
      <c r="G336" s="80"/>
    </row>
    <row r="337">
      <c r="D337" s="79"/>
      <c r="G337" s="80"/>
    </row>
    <row r="338">
      <c r="D338" s="79"/>
      <c r="G338" s="80"/>
    </row>
    <row r="339">
      <c r="D339" s="79"/>
      <c r="G339" s="80"/>
    </row>
    <row r="340">
      <c r="D340" s="79"/>
      <c r="G340" s="80"/>
    </row>
    <row r="341">
      <c r="D341" s="79"/>
      <c r="G341" s="80"/>
    </row>
    <row r="342">
      <c r="D342" s="79"/>
      <c r="G342" s="80"/>
    </row>
    <row r="343">
      <c r="D343" s="79"/>
      <c r="G343" s="80"/>
    </row>
    <row r="344">
      <c r="D344" s="79"/>
      <c r="G344" s="80"/>
    </row>
    <row r="345">
      <c r="D345" s="79"/>
      <c r="G345" s="80"/>
    </row>
    <row r="346">
      <c r="D346" s="79"/>
      <c r="G346" s="80"/>
    </row>
    <row r="347">
      <c r="D347" s="79"/>
      <c r="G347" s="80"/>
    </row>
    <row r="348">
      <c r="D348" s="79"/>
      <c r="G348" s="80"/>
    </row>
    <row r="349">
      <c r="D349" s="79"/>
      <c r="G349" s="80"/>
    </row>
    <row r="350">
      <c r="D350" s="79"/>
      <c r="G350" s="80"/>
    </row>
    <row r="351">
      <c r="D351" s="79"/>
      <c r="G351" s="80"/>
    </row>
    <row r="352">
      <c r="D352" s="79"/>
      <c r="G352" s="80"/>
    </row>
    <row r="353">
      <c r="D353" s="79"/>
      <c r="G353" s="80"/>
    </row>
    <row r="354">
      <c r="D354" s="79"/>
      <c r="G354" s="80"/>
    </row>
    <row r="355">
      <c r="D355" s="79"/>
      <c r="G355" s="80"/>
    </row>
    <row r="356">
      <c r="D356" s="79"/>
      <c r="G356" s="80"/>
    </row>
    <row r="357">
      <c r="D357" s="79"/>
      <c r="G357" s="80"/>
    </row>
    <row r="358">
      <c r="D358" s="79"/>
      <c r="G358" s="80"/>
    </row>
    <row r="359">
      <c r="D359" s="79"/>
      <c r="G359" s="80"/>
    </row>
    <row r="360">
      <c r="D360" s="79"/>
      <c r="G360" s="80"/>
    </row>
    <row r="361">
      <c r="D361" s="79"/>
      <c r="G361" s="80"/>
    </row>
    <row r="362">
      <c r="D362" s="79"/>
      <c r="G362" s="80"/>
    </row>
    <row r="363">
      <c r="D363" s="79"/>
      <c r="G363" s="80"/>
    </row>
    <row r="364">
      <c r="D364" s="79"/>
      <c r="G364" s="80"/>
    </row>
    <row r="365">
      <c r="D365" s="79"/>
      <c r="G365" s="80"/>
    </row>
    <row r="366">
      <c r="D366" s="79"/>
      <c r="G366" s="80"/>
    </row>
    <row r="367">
      <c r="D367" s="79"/>
      <c r="G367" s="80"/>
    </row>
    <row r="368">
      <c r="D368" s="79"/>
      <c r="G368" s="80"/>
    </row>
    <row r="369">
      <c r="D369" s="79"/>
      <c r="G369" s="80"/>
    </row>
    <row r="370">
      <c r="D370" s="79"/>
      <c r="G370" s="80"/>
    </row>
    <row r="371">
      <c r="D371" s="79"/>
      <c r="G371" s="80"/>
    </row>
    <row r="372">
      <c r="D372" s="79"/>
      <c r="G372" s="80"/>
    </row>
    <row r="373">
      <c r="D373" s="79"/>
      <c r="G373" s="80"/>
    </row>
    <row r="374">
      <c r="D374" s="79"/>
      <c r="G374" s="80"/>
    </row>
    <row r="375">
      <c r="D375" s="79"/>
      <c r="G375" s="80"/>
    </row>
    <row r="376">
      <c r="D376" s="79"/>
      <c r="G376" s="80"/>
    </row>
    <row r="377">
      <c r="D377" s="79"/>
      <c r="G377" s="80"/>
    </row>
    <row r="378">
      <c r="D378" s="79"/>
      <c r="G378" s="80"/>
    </row>
    <row r="379">
      <c r="D379" s="79"/>
      <c r="G379" s="80"/>
    </row>
    <row r="380">
      <c r="D380" s="79"/>
      <c r="G380" s="80"/>
    </row>
    <row r="381">
      <c r="D381" s="79"/>
      <c r="G381" s="80"/>
    </row>
    <row r="382">
      <c r="D382" s="79"/>
      <c r="G382" s="80"/>
    </row>
    <row r="383">
      <c r="D383" s="79"/>
      <c r="G383" s="80"/>
    </row>
    <row r="384">
      <c r="D384" s="79"/>
      <c r="G384" s="80"/>
    </row>
    <row r="385">
      <c r="D385" s="79"/>
      <c r="G385" s="80"/>
    </row>
    <row r="386">
      <c r="D386" s="79"/>
      <c r="G386" s="80"/>
    </row>
    <row r="387">
      <c r="D387" s="79"/>
      <c r="G387" s="80"/>
    </row>
    <row r="388">
      <c r="D388" s="79"/>
      <c r="G388" s="80"/>
    </row>
    <row r="389">
      <c r="D389" s="79"/>
      <c r="G389" s="80"/>
    </row>
    <row r="390">
      <c r="D390" s="79"/>
      <c r="G390" s="80"/>
    </row>
    <row r="391">
      <c r="D391" s="79"/>
      <c r="G391" s="80"/>
    </row>
    <row r="392">
      <c r="D392" s="79"/>
      <c r="G392" s="80"/>
    </row>
    <row r="393">
      <c r="D393" s="79"/>
      <c r="G393" s="80"/>
    </row>
    <row r="394">
      <c r="D394" s="79"/>
      <c r="G394" s="80"/>
    </row>
    <row r="395">
      <c r="D395" s="79"/>
      <c r="G395" s="80"/>
    </row>
    <row r="396">
      <c r="D396" s="79"/>
      <c r="G396" s="80"/>
    </row>
    <row r="397">
      <c r="D397" s="79"/>
      <c r="G397" s="80"/>
    </row>
    <row r="398">
      <c r="D398" s="79"/>
      <c r="G398" s="80"/>
    </row>
    <row r="399">
      <c r="D399" s="79"/>
      <c r="G399" s="80"/>
    </row>
    <row r="400">
      <c r="D400" s="79"/>
      <c r="G400" s="80"/>
    </row>
    <row r="401">
      <c r="D401" s="79"/>
      <c r="G401" s="80"/>
    </row>
    <row r="402">
      <c r="D402" s="79"/>
      <c r="G402" s="80"/>
    </row>
    <row r="403">
      <c r="D403" s="79"/>
      <c r="G403" s="80"/>
    </row>
    <row r="404">
      <c r="D404" s="79"/>
      <c r="G404" s="80"/>
    </row>
    <row r="405">
      <c r="D405" s="79"/>
      <c r="G405" s="80"/>
    </row>
    <row r="406">
      <c r="D406" s="79"/>
      <c r="G406" s="80"/>
    </row>
    <row r="407">
      <c r="D407" s="79"/>
      <c r="G407" s="80"/>
    </row>
    <row r="408">
      <c r="D408" s="79"/>
      <c r="G408" s="80"/>
    </row>
    <row r="409">
      <c r="D409" s="79"/>
      <c r="G409" s="80"/>
    </row>
    <row r="410">
      <c r="D410" s="79"/>
      <c r="G410" s="80"/>
    </row>
    <row r="411">
      <c r="D411" s="79"/>
      <c r="G411" s="80"/>
    </row>
    <row r="412">
      <c r="D412" s="79"/>
      <c r="G412" s="80"/>
    </row>
    <row r="413">
      <c r="D413" s="79"/>
      <c r="G413" s="80"/>
    </row>
    <row r="414">
      <c r="D414" s="79"/>
      <c r="G414" s="80"/>
    </row>
    <row r="415">
      <c r="D415" s="79"/>
      <c r="G415" s="80"/>
    </row>
    <row r="416">
      <c r="D416" s="79"/>
      <c r="G416" s="80"/>
    </row>
    <row r="417">
      <c r="D417" s="79"/>
      <c r="G417" s="80"/>
    </row>
    <row r="418">
      <c r="D418" s="79"/>
      <c r="G418" s="80"/>
    </row>
    <row r="419">
      <c r="D419" s="79"/>
      <c r="G419" s="80"/>
    </row>
    <row r="420">
      <c r="D420" s="79"/>
      <c r="G420" s="80"/>
    </row>
    <row r="421">
      <c r="D421" s="79"/>
      <c r="G421" s="80"/>
    </row>
    <row r="422">
      <c r="D422" s="79"/>
      <c r="G422" s="80"/>
    </row>
    <row r="423">
      <c r="D423" s="79"/>
      <c r="G423" s="80"/>
    </row>
    <row r="424">
      <c r="D424" s="79"/>
      <c r="G424" s="80"/>
    </row>
    <row r="425">
      <c r="D425" s="79"/>
      <c r="G425" s="80"/>
    </row>
    <row r="426">
      <c r="D426" s="79"/>
      <c r="G426" s="80"/>
    </row>
    <row r="427">
      <c r="D427" s="79"/>
      <c r="G427" s="80"/>
    </row>
    <row r="428">
      <c r="D428" s="79"/>
      <c r="G428" s="80"/>
    </row>
    <row r="429">
      <c r="D429" s="79"/>
      <c r="G429" s="80"/>
    </row>
    <row r="430">
      <c r="D430" s="79"/>
      <c r="G430" s="80"/>
    </row>
    <row r="431">
      <c r="D431" s="79"/>
      <c r="G431" s="80"/>
    </row>
    <row r="432">
      <c r="D432" s="79"/>
      <c r="G432" s="80"/>
    </row>
    <row r="433">
      <c r="D433" s="79"/>
      <c r="G433" s="80"/>
    </row>
    <row r="434">
      <c r="D434" s="79"/>
      <c r="G434" s="80"/>
    </row>
    <row r="435">
      <c r="D435" s="79"/>
      <c r="G435" s="80"/>
    </row>
    <row r="436">
      <c r="D436" s="79"/>
      <c r="G436" s="80"/>
    </row>
    <row r="437">
      <c r="D437" s="79"/>
      <c r="G437" s="80"/>
    </row>
    <row r="438">
      <c r="D438" s="79"/>
      <c r="G438" s="80"/>
    </row>
    <row r="439">
      <c r="D439" s="79"/>
      <c r="G439" s="80"/>
    </row>
    <row r="440">
      <c r="D440" s="79"/>
      <c r="G440" s="80"/>
    </row>
    <row r="441">
      <c r="D441" s="79"/>
      <c r="G441" s="80"/>
    </row>
    <row r="442">
      <c r="D442" s="79"/>
      <c r="G442" s="80"/>
    </row>
    <row r="443">
      <c r="D443" s="79"/>
      <c r="G443" s="80"/>
    </row>
    <row r="444">
      <c r="D444" s="79"/>
      <c r="G444" s="80"/>
    </row>
    <row r="445">
      <c r="D445" s="79"/>
      <c r="G445" s="80"/>
    </row>
    <row r="446">
      <c r="D446" s="79"/>
      <c r="G446" s="80"/>
    </row>
    <row r="447">
      <c r="D447" s="79"/>
      <c r="G447" s="80"/>
    </row>
    <row r="448">
      <c r="D448" s="79"/>
      <c r="G448" s="80"/>
    </row>
    <row r="449">
      <c r="D449" s="79"/>
      <c r="G449" s="80"/>
    </row>
    <row r="450">
      <c r="D450" s="79"/>
      <c r="G450" s="80"/>
    </row>
    <row r="451">
      <c r="D451" s="79"/>
      <c r="G451" s="80"/>
    </row>
    <row r="452">
      <c r="D452" s="79"/>
      <c r="G452" s="80"/>
    </row>
    <row r="453">
      <c r="D453" s="79"/>
      <c r="G453" s="80"/>
    </row>
    <row r="454">
      <c r="D454" s="79"/>
      <c r="G454" s="80"/>
    </row>
    <row r="455">
      <c r="D455" s="79"/>
      <c r="G455" s="80"/>
    </row>
    <row r="456">
      <c r="D456" s="79"/>
      <c r="G456" s="80"/>
    </row>
    <row r="457">
      <c r="D457" s="79"/>
      <c r="G457" s="80"/>
    </row>
    <row r="458">
      <c r="D458" s="79"/>
      <c r="G458" s="80"/>
    </row>
    <row r="459">
      <c r="D459" s="79"/>
      <c r="G459" s="80"/>
    </row>
    <row r="460">
      <c r="D460" s="79"/>
      <c r="G460" s="80"/>
    </row>
    <row r="461">
      <c r="D461" s="79"/>
      <c r="G461" s="80"/>
    </row>
    <row r="462">
      <c r="D462" s="79"/>
      <c r="G462" s="80"/>
    </row>
    <row r="463">
      <c r="D463" s="79"/>
      <c r="G463" s="80"/>
    </row>
    <row r="464">
      <c r="D464" s="79"/>
      <c r="G464" s="80"/>
    </row>
    <row r="465">
      <c r="D465" s="79"/>
      <c r="G465" s="80"/>
    </row>
    <row r="466">
      <c r="D466" s="79"/>
      <c r="G466" s="80"/>
    </row>
    <row r="467">
      <c r="D467" s="79"/>
      <c r="G467" s="80"/>
    </row>
    <row r="468">
      <c r="D468" s="79"/>
      <c r="G468" s="80"/>
    </row>
    <row r="469">
      <c r="D469" s="79"/>
      <c r="G469" s="80"/>
    </row>
    <row r="470">
      <c r="D470" s="79"/>
      <c r="G470" s="80"/>
    </row>
    <row r="471">
      <c r="D471" s="79"/>
      <c r="G471" s="80"/>
    </row>
    <row r="472">
      <c r="D472" s="79"/>
      <c r="G472" s="80"/>
    </row>
    <row r="473">
      <c r="D473" s="79"/>
      <c r="G473" s="80"/>
    </row>
    <row r="474">
      <c r="D474" s="79"/>
      <c r="G474" s="80"/>
    </row>
    <row r="475">
      <c r="D475" s="79"/>
      <c r="G475" s="80"/>
    </row>
    <row r="476">
      <c r="D476" s="79"/>
      <c r="G476" s="80"/>
    </row>
    <row r="477">
      <c r="D477" s="79"/>
      <c r="G477" s="80"/>
    </row>
    <row r="478">
      <c r="D478" s="79"/>
      <c r="G478" s="80"/>
    </row>
    <row r="479">
      <c r="D479" s="79"/>
      <c r="G479" s="80"/>
    </row>
    <row r="480">
      <c r="D480" s="79"/>
      <c r="G480" s="80"/>
    </row>
    <row r="481">
      <c r="D481" s="79"/>
      <c r="G481" s="80"/>
    </row>
    <row r="482">
      <c r="D482" s="79"/>
      <c r="G482" s="80"/>
    </row>
    <row r="483">
      <c r="D483" s="79"/>
      <c r="G483" s="80"/>
    </row>
    <row r="484">
      <c r="D484" s="79"/>
      <c r="G484" s="80"/>
    </row>
    <row r="485">
      <c r="D485" s="79"/>
      <c r="G485" s="80"/>
    </row>
    <row r="486">
      <c r="D486" s="79"/>
      <c r="G486" s="80"/>
    </row>
    <row r="487">
      <c r="D487" s="79"/>
      <c r="G487" s="80"/>
    </row>
    <row r="488">
      <c r="D488" s="79"/>
      <c r="G488" s="80"/>
    </row>
    <row r="489">
      <c r="D489" s="79"/>
      <c r="G489" s="80"/>
    </row>
    <row r="490">
      <c r="D490" s="79"/>
      <c r="G490" s="80"/>
    </row>
    <row r="491">
      <c r="D491" s="79"/>
      <c r="G491" s="80"/>
    </row>
    <row r="492">
      <c r="D492" s="79"/>
      <c r="G492" s="80"/>
    </row>
    <row r="493">
      <c r="D493" s="79"/>
      <c r="G493" s="80"/>
    </row>
    <row r="494">
      <c r="D494" s="79"/>
      <c r="G494" s="80"/>
    </row>
    <row r="495">
      <c r="D495" s="79"/>
      <c r="G495" s="80"/>
    </row>
    <row r="496">
      <c r="D496" s="79"/>
      <c r="G496" s="80"/>
    </row>
    <row r="497">
      <c r="D497" s="79"/>
      <c r="G497" s="80"/>
    </row>
    <row r="498">
      <c r="D498" s="79"/>
      <c r="G498" s="80"/>
    </row>
    <row r="499">
      <c r="D499" s="79"/>
      <c r="G499" s="80"/>
    </row>
    <row r="500">
      <c r="D500" s="79"/>
      <c r="G500" s="80"/>
    </row>
    <row r="501">
      <c r="D501" s="79"/>
      <c r="G501" s="80"/>
    </row>
    <row r="502">
      <c r="D502" s="79"/>
      <c r="G502" s="80"/>
    </row>
    <row r="503">
      <c r="D503" s="79"/>
      <c r="G503" s="80"/>
    </row>
    <row r="504">
      <c r="D504" s="79"/>
      <c r="G504" s="80"/>
    </row>
    <row r="505">
      <c r="D505" s="79"/>
      <c r="G505" s="80"/>
    </row>
    <row r="506">
      <c r="D506" s="79"/>
      <c r="G506" s="80"/>
    </row>
    <row r="507">
      <c r="D507" s="79"/>
      <c r="G507" s="80"/>
    </row>
    <row r="508">
      <c r="D508" s="79"/>
      <c r="G508" s="80"/>
    </row>
    <row r="509">
      <c r="D509" s="79"/>
      <c r="G509" s="80"/>
    </row>
    <row r="510">
      <c r="D510" s="79"/>
      <c r="G510" s="80"/>
    </row>
    <row r="511">
      <c r="D511" s="79"/>
      <c r="G511" s="80"/>
    </row>
    <row r="512">
      <c r="D512" s="79"/>
      <c r="G512" s="80"/>
    </row>
    <row r="513">
      <c r="D513" s="79"/>
      <c r="G513" s="80"/>
    </row>
    <row r="514">
      <c r="D514" s="79"/>
      <c r="G514" s="80"/>
    </row>
    <row r="515">
      <c r="D515" s="79"/>
      <c r="G515" s="80"/>
    </row>
    <row r="516">
      <c r="D516" s="79"/>
      <c r="G516" s="80"/>
    </row>
    <row r="517">
      <c r="D517" s="79"/>
      <c r="G517" s="80"/>
    </row>
    <row r="518">
      <c r="D518" s="79"/>
      <c r="G518" s="80"/>
    </row>
    <row r="519">
      <c r="D519" s="79"/>
      <c r="G519" s="80"/>
    </row>
    <row r="520">
      <c r="D520" s="79"/>
      <c r="G520" s="80"/>
    </row>
    <row r="521">
      <c r="D521" s="79"/>
      <c r="G521" s="80"/>
    </row>
    <row r="522">
      <c r="D522" s="79"/>
      <c r="G522" s="80"/>
    </row>
    <row r="523">
      <c r="D523" s="79"/>
      <c r="G523" s="80"/>
    </row>
    <row r="524">
      <c r="D524" s="79"/>
      <c r="G524" s="80"/>
    </row>
    <row r="525">
      <c r="D525" s="79"/>
      <c r="G525" s="80"/>
    </row>
    <row r="526">
      <c r="D526" s="79"/>
      <c r="G526" s="80"/>
    </row>
    <row r="527">
      <c r="D527" s="79"/>
      <c r="G527" s="80"/>
    </row>
    <row r="528">
      <c r="D528" s="79"/>
      <c r="G528" s="80"/>
    </row>
    <row r="529">
      <c r="D529" s="79"/>
      <c r="G529" s="80"/>
    </row>
    <row r="530">
      <c r="D530" s="79"/>
      <c r="G530" s="80"/>
    </row>
    <row r="531">
      <c r="D531" s="79"/>
      <c r="G531" s="80"/>
    </row>
    <row r="532">
      <c r="D532" s="79"/>
      <c r="G532" s="80"/>
    </row>
    <row r="533">
      <c r="D533" s="79"/>
      <c r="G533" s="80"/>
    </row>
    <row r="534">
      <c r="D534" s="79"/>
      <c r="G534" s="80"/>
    </row>
    <row r="535">
      <c r="D535" s="79"/>
      <c r="G535" s="80"/>
    </row>
    <row r="536">
      <c r="D536" s="79"/>
      <c r="G536" s="80"/>
    </row>
    <row r="537">
      <c r="D537" s="79"/>
      <c r="G537" s="80"/>
    </row>
    <row r="538">
      <c r="D538" s="79"/>
      <c r="G538" s="80"/>
    </row>
    <row r="539">
      <c r="D539" s="79"/>
      <c r="G539" s="80"/>
    </row>
    <row r="540">
      <c r="D540" s="79"/>
      <c r="G540" s="80"/>
    </row>
    <row r="541">
      <c r="D541" s="79"/>
      <c r="G541" s="80"/>
    </row>
    <row r="542">
      <c r="D542" s="79"/>
      <c r="G542" s="80"/>
    </row>
    <row r="543">
      <c r="D543" s="79"/>
      <c r="G543" s="80"/>
    </row>
    <row r="544">
      <c r="D544" s="79"/>
      <c r="G544" s="80"/>
    </row>
    <row r="545">
      <c r="D545" s="79"/>
      <c r="G545" s="80"/>
    </row>
    <row r="546">
      <c r="D546" s="79"/>
      <c r="G546" s="80"/>
    </row>
    <row r="547">
      <c r="D547" s="79"/>
      <c r="G547" s="80"/>
    </row>
    <row r="548">
      <c r="D548" s="79"/>
      <c r="G548" s="80"/>
    </row>
    <row r="549">
      <c r="D549" s="79"/>
      <c r="G549" s="80"/>
    </row>
    <row r="550">
      <c r="D550" s="79"/>
      <c r="G550" s="80"/>
    </row>
    <row r="551">
      <c r="D551" s="79"/>
      <c r="G551" s="80"/>
    </row>
    <row r="552">
      <c r="D552" s="79"/>
      <c r="G552" s="80"/>
    </row>
    <row r="553">
      <c r="D553" s="79"/>
      <c r="G553" s="80"/>
    </row>
    <row r="554">
      <c r="D554" s="79"/>
      <c r="G554" s="80"/>
    </row>
    <row r="555">
      <c r="D555" s="79"/>
      <c r="G555" s="80"/>
    </row>
    <row r="556">
      <c r="D556" s="79"/>
      <c r="G556" s="80"/>
    </row>
    <row r="557">
      <c r="D557" s="79"/>
      <c r="G557" s="80"/>
    </row>
    <row r="558">
      <c r="D558" s="79"/>
      <c r="G558" s="80"/>
    </row>
    <row r="559">
      <c r="D559" s="79"/>
      <c r="G559" s="80"/>
    </row>
    <row r="560">
      <c r="D560" s="79"/>
      <c r="G560" s="80"/>
    </row>
    <row r="561">
      <c r="D561" s="79"/>
      <c r="G561" s="80"/>
    </row>
    <row r="562">
      <c r="D562" s="79"/>
      <c r="G562" s="80"/>
    </row>
    <row r="563">
      <c r="D563" s="79"/>
      <c r="G563" s="80"/>
    </row>
    <row r="564">
      <c r="D564" s="79"/>
      <c r="G564" s="80"/>
    </row>
    <row r="565">
      <c r="D565" s="79"/>
      <c r="G565" s="80"/>
    </row>
    <row r="566">
      <c r="D566" s="79"/>
      <c r="G566" s="80"/>
    </row>
    <row r="567">
      <c r="D567" s="79"/>
      <c r="G567" s="80"/>
    </row>
    <row r="568">
      <c r="D568" s="79"/>
      <c r="G568" s="80"/>
    </row>
    <row r="569">
      <c r="D569" s="79"/>
      <c r="G569" s="80"/>
    </row>
    <row r="570">
      <c r="D570" s="79"/>
      <c r="G570" s="80"/>
    </row>
    <row r="571">
      <c r="D571" s="79"/>
      <c r="G571" s="80"/>
    </row>
    <row r="572">
      <c r="D572" s="79"/>
      <c r="G572" s="80"/>
    </row>
    <row r="573">
      <c r="D573" s="79"/>
      <c r="G573" s="80"/>
    </row>
    <row r="574">
      <c r="D574" s="79"/>
      <c r="G574" s="80"/>
    </row>
    <row r="575">
      <c r="D575" s="79"/>
      <c r="G575" s="80"/>
    </row>
    <row r="576">
      <c r="D576" s="79"/>
      <c r="G576" s="80"/>
    </row>
    <row r="577">
      <c r="D577" s="79"/>
      <c r="G577" s="80"/>
    </row>
    <row r="578">
      <c r="D578" s="79"/>
      <c r="G578" s="80"/>
    </row>
    <row r="579">
      <c r="D579" s="79"/>
      <c r="G579" s="80"/>
    </row>
    <row r="580">
      <c r="D580" s="79"/>
      <c r="G580" s="80"/>
    </row>
    <row r="581">
      <c r="D581" s="79"/>
      <c r="G581" s="80"/>
    </row>
    <row r="582">
      <c r="D582" s="79"/>
      <c r="G582" s="80"/>
    </row>
    <row r="583">
      <c r="D583" s="79"/>
      <c r="G583" s="80"/>
    </row>
    <row r="584">
      <c r="D584" s="79"/>
      <c r="G584" s="80"/>
    </row>
    <row r="585">
      <c r="D585" s="79"/>
      <c r="G585" s="80"/>
    </row>
    <row r="586">
      <c r="D586" s="79"/>
      <c r="G586" s="80"/>
    </row>
    <row r="587">
      <c r="D587" s="79"/>
      <c r="G587" s="80"/>
    </row>
    <row r="588">
      <c r="D588" s="79"/>
      <c r="G588" s="80"/>
    </row>
    <row r="589">
      <c r="D589" s="79"/>
      <c r="G589" s="80"/>
    </row>
    <row r="590">
      <c r="D590" s="79"/>
      <c r="G590" s="80"/>
    </row>
    <row r="591">
      <c r="D591" s="79"/>
      <c r="G591" s="80"/>
    </row>
    <row r="592">
      <c r="D592" s="79"/>
      <c r="G592" s="80"/>
    </row>
    <row r="593">
      <c r="D593" s="79"/>
      <c r="G593" s="80"/>
    </row>
    <row r="594">
      <c r="D594" s="79"/>
      <c r="G594" s="80"/>
    </row>
    <row r="595">
      <c r="D595" s="79"/>
      <c r="G595" s="80"/>
    </row>
    <row r="596">
      <c r="D596" s="79"/>
      <c r="G596" s="80"/>
    </row>
    <row r="597">
      <c r="D597" s="79"/>
      <c r="G597" s="80"/>
    </row>
    <row r="598">
      <c r="D598" s="79"/>
      <c r="G598" s="80"/>
    </row>
    <row r="599">
      <c r="D599" s="79"/>
      <c r="G599" s="80"/>
    </row>
    <row r="600">
      <c r="D600" s="79"/>
      <c r="G600" s="80"/>
    </row>
    <row r="601">
      <c r="D601" s="79"/>
      <c r="G601" s="80"/>
    </row>
    <row r="602">
      <c r="D602" s="79"/>
      <c r="G602" s="80"/>
    </row>
    <row r="603">
      <c r="D603" s="79"/>
      <c r="G603" s="80"/>
    </row>
    <row r="604">
      <c r="D604" s="79"/>
      <c r="G604" s="80"/>
    </row>
    <row r="605">
      <c r="D605" s="79"/>
      <c r="G605" s="80"/>
    </row>
    <row r="606">
      <c r="D606" s="79"/>
      <c r="G606" s="80"/>
    </row>
    <row r="607">
      <c r="D607" s="79"/>
      <c r="G607" s="80"/>
    </row>
    <row r="608">
      <c r="D608" s="79"/>
      <c r="G608" s="80"/>
    </row>
    <row r="609">
      <c r="D609" s="79"/>
      <c r="G609" s="80"/>
    </row>
    <row r="610">
      <c r="D610" s="79"/>
      <c r="G610" s="80"/>
    </row>
    <row r="611">
      <c r="D611" s="79"/>
      <c r="G611" s="80"/>
    </row>
    <row r="612">
      <c r="D612" s="79"/>
      <c r="G612" s="80"/>
    </row>
    <row r="613">
      <c r="D613" s="79"/>
      <c r="G613" s="80"/>
    </row>
    <row r="614">
      <c r="D614" s="79"/>
      <c r="G614" s="80"/>
    </row>
    <row r="615">
      <c r="D615" s="79"/>
      <c r="G615" s="80"/>
    </row>
    <row r="616">
      <c r="D616" s="79"/>
      <c r="G616" s="80"/>
    </row>
    <row r="617">
      <c r="D617" s="79"/>
      <c r="G617" s="80"/>
    </row>
    <row r="618">
      <c r="D618" s="79"/>
      <c r="G618" s="80"/>
    </row>
    <row r="619">
      <c r="D619" s="79"/>
      <c r="G619" s="80"/>
    </row>
    <row r="620">
      <c r="D620" s="79"/>
      <c r="G620" s="80"/>
    </row>
    <row r="621">
      <c r="D621" s="79"/>
      <c r="G621" s="80"/>
    </row>
    <row r="622">
      <c r="D622" s="79"/>
      <c r="G622" s="80"/>
    </row>
    <row r="623">
      <c r="D623" s="79"/>
      <c r="G623" s="80"/>
    </row>
    <row r="624">
      <c r="D624" s="79"/>
      <c r="G624" s="80"/>
    </row>
    <row r="625">
      <c r="D625" s="79"/>
      <c r="G625" s="80"/>
    </row>
    <row r="626">
      <c r="D626" s="79"/>
      <c r="G626" s="80"/>
    </row>
    <row r="627">
      <c r="D627" s="79"/>
      <c r="G627" s="80"/>
    </row>
    <row r="628">
      <c r="D628" s="79"/>
      <c r="G628" s="80"/>
    </row>
    <row r="629">
      <c r="D629" s="79"/>
      <c r="G629" s="80"/>
    </row>
    <row r="630">
      <c r="D630" s="79"/>
      <c r="G630" s="80"/>
    </row>
    <row r="631">
      <c r="D631" s="79"/>
      <c r="G631" s="80"/>
    </row>
    <row r="632">
      <c r="D632" s="79"/>
      <c r="G632" s="80"/>
    </row>
    <row r="633">
      <c r="D633" s="79"/>
      <c r="G633" s="80"/>
    </row>
    <row r="634">
      <c r="D634" s="79"/>
      <c r="G634" s="80"/>
    </row>
    <row r="635">
      <c r="D635" s="79"/>
      <c r="G635" s="80"/>
    </row>
    <row r="636">
      <c r="D636" s="79"/>
      <c r="G636" s="80"/>
    </row>
    <row r="637">
      <c r="D637" s="79"/>
      <c r="G637" s="80"/>
    </row>
    <row r="638">
      <c r="D638" s="79"/>
      <c r="G638" s="80"/>
    </row>
    <row r="639">
      <c r="D639" s="79"/>
      <c r="G639" s="80"/>
    </row>
    <row r="640">
      <c r="D640" s="79"/>
      <c r="G640" s="80"/>
    </row>
    <row r="641">
      <c r="D641" s="79"/>
      <c r="G641" s="80"/>
    </row>
    <row r="642">
      <c r="D642" s="79"/>
      <c r="G642" s="80"/>
    </row>
    <row r="643">
      <c r="D643" s="79"/>
      <c r="G643" s="80"/>
    </row>
    <row r="644">
      <c r="D644" s="79"/>
      <c r="G644" s="80"/>
    </row>
    <row r="645">
      <c r="D645" s="79"/>
      <c r="G645" s="80"/>
    </row>
    <row r="646">
      <c r="D646" s="79"/>
      <c r="G646" s="80"/>
    </row>
    <row r="647">
      <c r="D647" s="79"/>
      <c r="G647" s="80"/>
    </row>
    <row r="648">
      <c r="D648" s="79"/>
      <c r="G648" s="80"/>
    </row>
    <row r="649">
      <c r="D649" s="79"/>
      <c r="G649" s="80"/>
    </row>
    <row r="650">
      <c r="D650" s="79"/>
      <c r="G650" s="80"/>
    </row>
    <row r="651">
      <c r="D651" s="79"/>
      <c r="G651" s="80"/>
    </row>
    <row r="652">
      <c r="D652" s="79"/>
      <c r="G652" s="80"/>
    </row>
    <row r="653">
      <c r="D653" s="79"/>
      <c r="G653" s="80"/>
    </row>
    <row r="654">
      <c r="D654" s="79"/>
      <c r="G654" s="80"/>
    </row>
    <row r="655">
      <c r="D655" s="79"/>
      <c r="G655" s="80"/>
    </row>
    <row r="656">
      <c r="D656" s="79"/>
      <c r="G656" s="80"/>
    </row>
    <row r="657">
      <c r="D657" s="79"/>
      <c r="G657" s="80"/>
    </row>
    <row r="658">
      <c r="D658" s="79"/>
      <c r="G658" s="80"/>
    </row>
    <row r="659">
      <c r="D659" s="79"/>
      <c r="G659" s="80"/>
    </row>
    <row r="660">
      <c r="D660" s="79"/>
      <c r="G660" s="80"/>
    </row>
    <row r="661">
      <c r="D661" s="79"/>
      <c r="G661" s="80"/>
    </row>
    <row r="662">
      <c r="D662" s="79"/>
      <c r="G662" s="80"/>
    </row>
    <row r="663">
      <c r="D663" s="79"/>
      <c r="G663" s="80"/>
    </row>
    <row r="664">
      <c r="D664" s="79"/>
      <c r="G664" s="80"/>
    </row>
    <row r="665">
      <c r="D665" s="79"/>
      <c r="G665" s="80"/>
    </row>
    <row r="666">
      <c r="D666" s="79"/>
      <c r="G666" s="80"/>
    </row>
    <row r="667">
      <c r="D667" s="79"/>
      <c r="G667" s="80"/>
    </row>
    <row r="668">
      <c r="D668" s="79"/>
      <c r="G668" s="80"/>
    </row>
    <row r="669">
      <c r="D669" s="79"/>
      <c r="G669" s="80"/>
    </row>
    <row r="670">
      <c r="D670" s="79"/>
      <c r="G670" s="80"/>
    </row>
    <row r="671">
      <c r="D671" s="79"/>
      <c r="G671" s="80"/>
    </row>
    <row r="672">
      <c r="D672" s="79"/>
      <c r="G672" s="80"/>
    </row>
    <row r="673">
      <c r="D673" s="79"/>
      <c r="G673" s="80"/>
    </row>
    <row r="674">
      <c r="D674" s="79"/>
      <c r="G674" s="80"/>
    </row>
    <row r="675">
      <c r="D675" s="79"/>
      <c r="G675" s="80"/>
    </row>
    <row r="676">
      <c r="D676" s="79"/>
      <c r="G676" s="80"/>
    </row>
    <row r="677">
      <c r="D677" s="79"/>
      <c r="G677" s="80"/>
    </row>
    <row r="678">
      <c r="D678" s="79"/>
      <c r="G678" s="80"/>
    </row>
    <row r="679">
      <c r="D679" s="79"/>
      <c r="G679" s="80"/>
    </row>
    <row r="680">
      <c r="D680" s="79"/>
      <c r="G680" s="80"/>
    </row>
    <row r="681">
      <c r="D681" s="79"/>
      <c r="G681" s="80"/>
    </row>
    <row r="682">
      <c r="D682" s="79"/>
      <c r="G682" s="80"/>
    </row>
    <row r="683">
      <c r="D683" s="79"/>
      <c r="G683" s="80"/>
    </row>
    <row r="684">
      <c r="D684" s="79"/>
      <c r="G684" s="80"/>
    </row>
    <row r="685">
      <c r="D685" s="79"/>
      <c r="G685" s="80"/>
    </row>
    <row r="686">
      <c r="D686" s="79"/>
      <c r="G686" s="80"/>
    </row>
    <row r="687">
      <c r="D687" s="79"/>
      <c r="G687" s="80"/>
    </row>
    <row r="688">
      <c r="D688" s="79"/>
      <c r="G688" s="80"/>
    </row>
    <row r="689">
      <c r="D689" s="79"/>
      <c r="G689" s="80"/>
    </row>
    <row r="690">
      <c r="D690" s="79"/>
      <c r="G690" s="80"/>
    </row>
    <row r="691">
      <c r="D691" s="79"/>
      <c r="G691" s="80"/>
    </row>
    <row r="692">
      <c r="D692" s="79"/>
      <c r="G692" s="80"/>
    </row>
    <row r="693">
      <c r="D693" s="79"/>
      <c r="G693" s="80"/>
    </row>
    <row r="694">
      <c r="D694" s="79"/>
      <c r="G694" s="80"/>
    </row>
    <row r="695">
      <c r="D695" s="79"/>
      <c r="G695" s="80"/>
    </row>
    <row r="696">
      <c r="D696" s="79"/>
      <c r="G696" s="80"/>
    </row>
    <row r="697">
      <c r="D697" s="79"/>
      <c r="G697" s="80"/>
    </row>
    <row r="698">
      <c r="D698" s="79"/>
      <c r="G698" s="80"/>
    </row>
    <row r="699">
      <c r="D699" s="79"/>
      <c r="G699" s="80"/>
    </row>
    <row r="700">
      <c r="D700" s="79"/>
      <c r="G700" s="80"/>
    </row>
    <row r="701">
      <c r="D701" s="79"/>
      <c r="G701" s="80"/>
    </row>
    <row r="702">
      <c r="D702" s="79"/>
      <c r="G702" s="80"/>
    </row>
    <row r="703">
      <c r="D703" s="79"/>
      <c r="G703" s="80"/>
    </row>
    <row r="704">
      <c r="D704" s="79"/>
      <c r="G704" s="80"/>
    </row>
    <row r="705">
      <c r="D705" s="79"/>
      <c r="G705" s="80"/>
    </row>
    <row r="706">
      <c r="D706" s="79"/>
      <c r="G706" s="80"/>
    </row>
    <row r="707">
      <c r="D707" s="79"/>
      <c r="G707" s="80"/>
    </row>
    <row r="708">
      <c r="D708" s="79"/>
      <c r="G708" s="80"/>
    </row>
    <row r="709">
      <c r="D709" s="79"/>
      <c r="G709" s="80"/>
    </row>
    <row r="710">
      <c r="D710" s="79"/>
      <c r="G710" s="80"/>
    </row>
    <row r="711">
      <c r="D711" s="79"/>
      <c r="G711" s="80"/>
    </row>
    <row r="712">
      <c r="D712" s="79"/>
      <c r="G712" s="80"/>
    </row>
    <row r="713">
      <c r="D713" s="79"/>
      <c r="G713" s="80"/>
    </row>
    <row r="714">
      <c r="D714" s="79"/>
      <c r="G714" s="80"/>
    </row>
    <row r="715">
      <c r="D715" s="79"/>
      <c r="G715" s="80"/>
    </row>
    <row r="716">
      <c r="D716" s="79"/>
      <c r="G716" s="80"/>
    </row>
    <row r="717">
      <c r="D717" s="79"/>
      <c r="G717" s="80"/>
    </row>
    <row r="718">
      <c r="D718" s="79"/>
      <c r="G718" s="80"/>
    </row>
    <row r="719">
      <c r="D719" s="79"/>
      <c r="G719" s="80"/>
    </row>
    <row r="720">
      <c r="D720" s="79"/>
      <c r="G720" s="80"/>
    </row>
    <row r="721">
      <c r="D721" s="79"/>
      <c r="G721" s="80"/>
    </row>
    <row r="722">
      <c r="D722" s="79"/>
      <c r="G722" s="80"/>
    </row>
    <row r="723">
      <c r="D723" s="79"/>
      <c r="G723" s="80"/>
    </row>
    <row r="724">
      <c r="D724" s="79"/>
      <c r="G724" s="80"/>
    </row>
    <row r="725">
      <c r="D725" s="79"/>
      <c r="G725" s="80"/>
    </row>
    <row r="726">
      <c r="D726" s="79"/>
      <c r="G726" s="80"/>
    </row>
    <row r="727">
      <c r="D727" s="79"/>
      <c r="G727" s="80"/>
    </row>
    <row r="728">
      <c r="D728" s="79"/>
      <c r="G728" s="80"/>
    </row>
    <row r="729">
      <c r="D729" s="79"/>
      <c r="G729" s="80"/>
    </row>
    <row r="730">
      <c r="D730" s="79"/>
      <c r="G730" s="80"/>
    </row>
    <row r="731">
      <c r="D731" s="79"/>
      <c r="G731" s="80"/>
    </row>
    <row r="732">
      <c r="D732" s="79"/>
      <c r="G732" s="80"/>
    </row>
    <row r="733">
      <c r="D733" s="79"/>
      <c r="G733" s="80"/>
    </row>
    <row r="734">
      <c r="D734" s="79"/>
      <c r="G734" s="80"/>
    </row>
    <row r="735">
      <c r="D735" s="79"/>
      <c r="G735" s="80"/>
    </row>
    <row r="736">
      <c r="D736" s="79"/>
      <c r="G736" s="80"/>
    </row>
    <row r="737">
      <c r="D737" s="79"/>
      <c r="G737" s="80"/>
    </row>
    <row r="738">
      <c r="D738" s="79"/>
      <c r="G738" s="80"/>
    </row>
    <row r="739">
      <c r="D739" s="79"/>
      <c r="G739" s="80"/>
    </row>
    <row r="740">
      <c r="D740" s="79"/>
      <c r="G740" s="80"/>
    </row>
    <row r="741">
      <c r="D741" s="79"/>
      <c r="G741" s="80"/>
    </row>
    <row r="742">
      <c r="D742" s="79"/>
      <c r="G742" s="80"/>
    </row>
    <row r="743">
      <c r="D743" s="79"/>
      <c r="G743" s="80"/>
    </row>
    <row r="744">
      <c r="D744" s="79"/>
      <c r="G744" s="80"/>
    </row>
    <row r="745">
      <c r="D745" s="79"/>
      <c r="G745" s="80"/>
    </row>
    <row r="746">
      <c r="D746" s="79"/>
      <c r="G746" s="80"/>
    </row>
    <row r="747">
      <c r="D747" s="79"/>
      <c r="G747" s="80"/>
    </row>
    <row r="748">
      <c r="D748" s="79"/>
      <c r="G748" s="80"/>
    </row>
    <row r="749">
      <c r="D749" s="79"/>
      <c r="G749" s="80"/>
    </row>
    <row r="750">
      <c r="D750" s="79"/>
      <c r="G750" s="80"/>
    </row>
    <row r="751">
      <c r="D751" s="79"/>
      <c r="G751" s="80"/>
    </row>
    <row r="752">
      <c r="D752" s="79"/>
      <c r="G752" s="80"/>
    </row>
    <row r="753">
      <c r="D753" s="79"/>
      <c r="G753" s="80"/>
    </row>
    <row r="754">
      <c r="D754" s="79"/>
      <c r="G754" s="80"/>
    </row>
    <row r="755">
      <c r="D755" s="79"/>
      <c r="G755" s="80"/>
    </row>
    <row r="756">
      <c r="D756" s="79"/>
      <c r="G756" s="80"/>
    </row>
    <row r="757">
      <c r="D757" s="79"/>
      <c r="G757" s="80"/>
    </row>
    <row r="758">
      <c r="D758" s="79"/>
      <c r="G758" s="80"/>
    </row>
    <row r="759">
      <c r="D759" s="79"/>
      <c r="G759" s="80"/>
    </row>
    <row r="760">
      <c r="D760" s="79"/>
      <c r="G760" s="80"/>
    </row>
    <row r="761">
      <c r="D761" s="79"/>
      <c r="G761" s="80"/>
    </row>
    <row r="762">
      <c r="D762" s="79"/>
      <c r="G762" s="80"/>
    </row>
    <row r="763">
      <c r="D763" s="79"/>
      <c r="G763" s="80"/>
    </row>
    <row r="764">
      <c r="D764" s="79"/>
      <c r="G764" s="80"/>
    </row>
    <row r="765">
      <c r="D765" s="79"/>
      <c r="G765" s="80"/>
    </row>
    <row r="766">
      <c r="D766" s="79"/>
      <c r="G766" s="80"/>
    </row>
    <row r="767">
      <c r="D767" s="79"/>
      <c r="G767" s="80"/>
    </row>
    <row r="768">
      <c r="D768" s="79"/>
      <c r="G768" s="80"/>
    </row>
    <row r="769">
      <c r="D769" s="79"/>
      <c r="G769" s="80"/>
    </row>
    <row r="770">
      <c r="D770" s="79"/>
      <c r="G770" s="80"/>
    </row>
    <row r="771">
      <c r="D771" s="79"/>
      <c r="G771" s="80"/>
    </row>
    <row r="772">
      <c r="D772" s="79"/>
      <c r="G772" s="80"/>
    </row>
    <row r="773">
      <c r="D773" s="79"/>
      <c r="G773" s="80"/>
    </row>
    <row r="774">
      <c r="D774" s="79"/>
      <c r="G774" s="80"/>
    </row>
    <row r="775">
      <c r="D775" s="79"/>
      <c r="G775" s="80"/>
    </row>
    <row r="776">
      <c r="D776" s="79"/>
      <c r="G776" s="80"/>
    </row>
    <row r="777">
      <c r="D777" s="79"/>
      <c r="G777" s="80"/>
    </row>
    <row r="778">
      <c r="D778" s="79"/>
      <c r="G778" s="80"/>
    </row>
    <row r="779">
      <c r="D779" s="79"/>
      <c r="G779" s="80"/>
    </row>
    <row r="780">
      <c r="D780" s="79"/>
      <c r="G780" s="80"/>
    </row>
    <row r="781">
      <c r="D781" s="79"/>
      <c r="G781" s="80"/>
    </row>
    <row r="782">
      <c r="D782" s="79"/>
      <c r="G782" s="80"/>
    </row>
    <row r="783">
      <c r="D783" s="79"/>
      <c r="G783" s="80"/>
    </row>
    <row r="784">
      <c r="D784" s="79"/>
      <c r="G784" s="80"/>
    </row>
    <row r="785">
      <c r="D785" s="79"/>
      <c r="G785" s="80"/>
    </row>
    <row r="786">
      <c r="D786" s="79"/>
      <c r="G786" s="80"/>
    </row>
    <row r="787">
      <c r="D787" s="79"/>
      <c r="G787" s="80"/>
    </row>
    <row r="788">
      <c r="D788" s="79"/>
      <c r="G788" s="80"/>
    </row>
    <row r="789">
      <c r="D789" s="79"/>
      <c r="G789" s="80"/>
    </row>
    <row r="790">
      <c r="D790" s="79"/>
      <c r="G790" s="80"/>
    </row>
    <row r="791">
      <c r="D791" s="79"/>
      <c r="G791" s="80"/>
    </row>
    <row r="792">
      <c r="D792" s="79"/>
      <c r="G792" s="80"/>
    </row>
    <row r="793">
      <c r="D793" s="79"/>
      <c r="G793" s="80"/>
    </row>
    <row r="794">
      <c r="D794" s="79"/>
      <c r="G794" s="80"/>
    </row>
    <row r="795">
      <c r="D795" s="79"/>
      <c r="G795" s="80"/>
    </row>
    <row r="796">
      <c r="D796" s="79"/>
      <c r="G796" s="80"/>
    </row>
    <row r="797">
      <c r="D797" s="79"/>
      <c r="G797" s="80"/>
    </row>
    <row r="798">
      <c r="D798" s="79"/>
      <c r="G798" s="80"/>
    </row>
    <row r="799">
      <c r="D799" s="79"/>
      <c r="G799" s="80"/>
    </row>
    <row r="800">
      <c r="D800" s="79"/>
      <c r="G800" s="80"/>
    </row>
    <row r="801">
      <c r="D801" s="79"/>
      <c r="G801" s="80"/>
    </row>
    <row r="802">
      <c r="D802" s="79"/>
      <c r="G802" s="80"/>
    </row>
    <row r="803">
      <c r="D803" s="79"/>
      <c r="G803" s="80"/>
    </row>
    <row r="804">
      <c r="D804" s="79"/>
      <c r="G804" s="80"/>
    </row>
    <row r="805">
      <c r="D805" s="79"/>
      <c r="G805" s="80"/>
    </row>
    <row r="806">
      <c r="D806" s="79"/>
      <c r="G806" s="80"/>
    </row>
    <row r="807">
      <c r="D807" s="79"/>
      <c r="G807" s="80"/>
    </row>
    <row r="808">
      <c r="D808" s="79"/>
      <c r="G808" s="80"/>
    </row>
    <row r="809">
      <c r="D809" s="79"/>
      <c r="G809" s="80"/>
    </row>
    <row r="810">
      <c r="D810" s="79"/>
      <c r="G810" s="80"/>
    </row>
    <row r="811">
      <c r="D811" s="79"/>
      <c r="G811" s="80"/>
    </row>
    <row r="812">
      <c r="D812" s="79"/>
      <c r="G812" s="80"/>
    </row>
    <row r="813">
      <c r="D813" s="79"/>
      <c r="G813" s="80"/>
    </row>
    <row r="814">
      <c r="D814" s="79"/>
      <c r="G814" s="80"/>
    </row>
    <row r="815">
      <c r="D815" s="79"/>
      <c r="G815" s="80"/>
    </row>
    <row r="816">
      <c r="D816" s="79"/>
      <c r="G816" s="80"/>
    </row>
    <row r="817">
      <c r="D817" s="79"/>
      <c r="G817" s="80"/>
    </row>
    <row r="818">
      <c r="D818" s="79"/>
      <c r="G818" s="80"/>
    </row>
    <row r="819">
      <c r="D819" s="79"/>
      <c r="G819" s="80"/>
    </row>
    <row r="820">
      <c r="D820" s="79"/>
      <c r="G820" s="80"/>
    </row>
    <row r="821">
      <c r="D821" s="79"/>
      <c r="G821" s="80"/>
    </row>
    <row r="822">
      <c r="D822" s="79"/>
      <c r="G822" s="80"/>
    </row>
    <row r="823">
      <c r="D823" s="79"/>
      <c r="G823" s="80"/>
    </row>
    <row r="824">
      <c r="D824" s="79"/>
      <c r="G824" s="80"/>
    </row>
    <row r="825">
      <c r="D825" s="79"/>
      <c r="G825" s="80"/>
    </row>
    <row r="826">
      <c r="D826" s="79"/>
      <c r="G826" s="80"/>
    </row>
    <row r="827">
      <c r="D827" s="79"/>
      <c r="G827" s="80"/>
    </row>
    <row r="828">
      <c r="D828" s="79"/>
      <c r="G828" s="80"/>
    </row>
    <row r="829">
      <c r="D829" s="79"/>
      <c r="G829" s="80"/>
    </row>
    <row r="830">
      <c r="D830" s="79"/>
      <c r="G830" s="80"/>
    </row>
    <row r="831">
      <c r="D831" s="79"/>
      <c r="G831" s="80"/>
    </row>
    <row r="832">
      <c r="D832" s="79"/>
      <c r="G832" s="80"/>
    </row>
    <row r="833">
      <c r="D833" s="79"/>
      <c r="G833" s="80"/>
    </row>
    <row r="834">
      <c r="D834" s="79"/>
      <c r="G834" s="80"/>
    </row>
    <row r="835">
      <c r="D835" s="79"/>
      <c r="G835" s="80"/>
    </row>
    <row r="836">
      <c r="D836" s="79"/>
      <c r="G836" s="80"/>
    </row>
    <row r="837">
      <c r="D837" s="79"/>
      <c r="G837" s="80"/>
    </row>
    <row r="838">
      <c r="D838" s="79"/>
      <c r="G838" s="80"/>
    </row>
    <row r="839">
      <c r="D839" s="79"/>
      <c r="G839" s="80"/>
    </row>
    <row r="840">
      <c r="D840" s="79"/>
      <c r="G840" s="80"/>
    </row>
    <row r="841">
      <c r="D841" s="79"/>
      <c r="G841" s="80"/>
    </row>
    <row r="842">
      <c r="D842" s="79"/>
      <c r="G842" s="80"/>
    </row>
    <row r="843">
      <c r="D843" s="79"/>
      <c r="G843" s="80"/>
    </row>
    <row r="844">
      <c r="D844" s="79"/>
      <c r="G844" s="80"/>
    </row>
    <row r="845">
      <c r="D845" s="79"/>
      <c r="G845" s="80"/>
    </row>
    <row r="846">
      <c r="D846" s="79"/>
      <c r="G846" s="80"/>
    </row>
    <row r="847">
      <c r="D847" s="79"/>
      <c r="G847" s="80"/>
    </row>
    <row r="848">
      <c r="D848" s="79"/>
      <c r="G848" s="80"/>
    </row>
    <row r="849">
      <c r="D849" s="79"/>
      <c r="G849" s="80"/>
    </row>
    <row r="850">
      <c r="D850" s="79"/>
      <c r="G850" s="80"/>
    </row>
    <row r="851">
      <c r="D851" s="79"/>
      <c r="G851" s="80"/>
    </row>
    <row r="852">
      <c r="D852" s="79"/>
      <c r="G852" s="80"/>
    </row>
    <row r="853">
      <c r="D853" s="79"/>
      <c r="G853" s="80"/>
    </row>
    <row r="854">
      <c r="D854" s="79"/>
      <c r="G854" s="80"/>
    </row>
    <row r="855">
      <c r="D855" s="79"/>
      <c r="G855" s="80"/>
    </row>
    <row r="856">
      <c r="D856" s="79"/>
      <c r="G856" s="80"/>
    </row>
    <row r="857">
      <c r="D857" s="79"/>
      <c r="G857" s="80"/>
    </row>
    <row r="858">
      <c r="D858" s="79"/>
      <c r="G858" s="80"/>
    </row>
    <row r="859">
      <c r="D859" s="79"/>
      <c r="G859" s="80"/>
    </row>
    <row r="860">
      <c r="D860" s="79"/>
      <c r="G860" s="80"/>
    </row>
    <row r="861">
      <c r="D861" s="79"/>
      <c r="G861" s="80"/>
    </row>
    <row r="862">
      <c r="D862" s="79"/>
      <c r="G862" s="80"/>
    </row>
    <row r="863">
      <c r="D863" s="79"/>
      <c r="G863" s="80"/>
    </row>
    <row r="864">
      <c r="D864" s="79"/>
      <c r="G864" s="80"/>
    </row>
    <row r="865">
      <c r="D865" s="79"/>
      <c r="G865" s="80"/>
    </row>
    <row r="866">
      <c r="D866" s="79"/>
      <c r="G866" s="80"/>
    </row>
    <row r="867">
      <c r="D867" s="79"/>
      <c r="G867" s="80"/>
    </row>
    <row r="868">
      <c r="D868" s="79"/>
      <c r="G868" s="80"/>
    </row>
    <row r="869">
      <c r="D869" s="79"/>
      <c r="G869" s="80"/>
    </row>
    <row r="870">
      <c r="D870" s="79"/>
      <c r="G870" s="80"/>
    </row>
    <row r="871">
      <c r="D871" s="79"/>
      <c r="G871" s="80"/>
    </row>
    <row r="872">
      <c r="D872" s="79"/>
      <c r="G872" s="80"/>
    </row>
    <row r="873">
      <c r="D873" s="79"/>
      <c r="G873" s="80"/>
    </row>
    <row r="874">
      <c r="D874" s="79"/>
      <c r="G874" s="80"/>
    </row>
    <row r="875">
      <c r="D875" s="79"/>
      <c r="G875" s="80"/>
    </row>
    <row r="876">
      <c r="D876" s="79"/>
      <c r="G876" s="80"/>
    </row>
    <row r="877">
      <c r="D877" s="79"/>
      <c r="G877" s="80"/>
    </row>
    <row r="878">
      <c r="D878" s="79"/>
      <c r="G878" s="80"/>
    </row>
    <row r="879">
      <c r="D879" s="79"/>
      <c r="G879" s="80"/>
    </row>
    <row r="880">
      <c r="D880" s="79"/>
      <c r="G880" s="80"/>
    </row>
    <row r="881">
      <c r="D881" s="79"/>
      <c r="G881" s="80"/>
    </row>
    <row r="882">
      <c r="D882" s="79"/>
      <c r="G882" s="80"/>
    </row>
    <row r="883">
      <c r="D883" s="79"/>
      <c r="G883" s="80"/>
    </row>
    <row r="884">
      <c r="D884" s="79"/>
      <c r="G884" s="80"/>
    </row>
    <row r="885">
      <c r="D885" s="79"/>
      <c r="G885" s="80"/>
    </row>
    <row r="886">
      <c r="D886" s="79"/>
      <c r="G886" s="80"/>
    </row>
    <row r="887">
      <c r="D887" s="79"/>
      <c r="G887" s="80"/>
    </row>
    <row r="888">
      <c r="D888" s="79"/>
      <c r="G888" s="80"/>
    </row>
    <row r="889">
      <c r="D889" s="79"/>
      <c r="G889" s="80"/>
    </row>
    <row r="890">
      <c r="D890" s="79"/>
      <c r="G890" s="80"/>
    </row>
    <row r="891">
      <c r="D891" s="79"/>
      <c r="G891" s="80"/>
    </row>
    <row r="892">
      <c r="D892" s="79"/>
      <c r="G892" s="80"/>
    </row>
    <row r="893">
      <c r="D893" s="79"/>
      <c r="G893" s="80"/>
    </row>
    <row r="894">
      <c r="D894" s="79"/>
      <c r="G894" s="80"/>
    </row>
    <row r="895">
      <c r="D895" s="79"/>
      <c r="G895" s="80"/>
    </row>
    <row r="896">
      <c r="D896" s="79"/>
      <c r="G896" s="80"/>
    </row>
    <row r="897">
      <c r="D897" s="79"/>
      <c r="G897" s="80"/>
    </row>
    <row r="898">
      <c r="D898" s="79"/>
      <c r="G898" s="80"/>
    </row>
    <row r="899">
      <c r="D899" s="79"/>
      <c r="G899" s="80"/>
    </row>
    <row r="900">
      <c r="D900" s="79"/>
      <c r="G900" s="80"/>
    </row>
    <row r="901">
      <c r="D901" s="79"/>
      <c r="G901" s="80"/>
    </row>
    <row r="902">
      <c r="D902" s="79"/>
      <c r="G902" s="80"/>
    </row>
    <row r="903">
      <c r="D903" s="79"/>
      <c r="G903" s="80"/>
    </row>
    <row r="904">
      <c r="D904" s="79"/>
      <c r="G904" s="80"/>
    </row>
    <row r="905">
      <c r="D905" s="79"/>
      <c r="G905" s="80"/>
    </row>
    <row r="906">
      <c r="D906" s="79"/>
      <c r="G906" s="80"/>
    </row>
    <row r="907">
      <c r="D907" s="79"/>
      <c r="G907" s="80"/>
    </row>
    <row r="908">
      <c r="D908" s="79"/>
      <c r="G908" s="80"/>
    </row>
    <row r="909">
      <c r="D909" s="79"/>
      <c r="G909" s="80"/>
    </row>
    <row r="910">
      <c r="D910" s="79"/>
      <c r="G910" s="80"/>
    </row>
    <row r="911">
      <c r="D911" s="79"/>
      <c r="G911" s="80"/>
    </row>
    <row r="912">
      <c r="D912" s="79"/>
      <c r="G912" s="80"/>
    </row>
    <row r="913">
      <c r="D913" s="79"/>
      <c r="G913" s="80"/>
    </row>
    <row r="914">
      <c r="D914" s="79"/>
      <c r="G914" s="80"/>
    </row>
    <row r="915">
      <c r="D915" s="79"/>
      <c r="G915" s="80"/>
    </row>
    <row r="916">
      <c r="D916" s="79"/>
      <c r="G916" s="80"/>
    </row>
    <row r="917">
      <c r="D917" s="79"/>
      <c r="G917" s="80"/>
    </row>
    <row r="918">
      <c r="D918" s="79"/>
      <c r="G918" s="80"/>
    </row>
    <row r="919">
      <c r="D919" s="79"/>
      <c r="G919" s="80"/>
    </row>
    <row r="920">
      <c r="D920" s="79"/>
      <c r="G920" s="80"/>
    </row>
    <row r="921">
      <c r="D921" s="79"/>
      <c r="G921" s="80"/>
    </row>
    <row r="922">
      <c r="D922" s="79"/>
      <c r="G922" s="80"/>
    </row>
    <row r="923">
      <c r="D923" s="79"/>
      <c r="G923" s="80"/>
    </row>
    <row r="924">
      <c r="D924" s="79"/>
      <c r="G924" s="80"/>
    </row>
    <row r="925">
      <c r="D925" s="79"/>
      <c r="G925" s="80"/>
    </row>
    <row r="926">
      <c r="D926" s="79"/>
      <c r="G926" s="80"/>
    </row>
    <row r="927">
      <c r="D927" s="79"/>
      <c r="G927" s="80"/>
    </row>
    <row r="928">
      <c r="D928" s="79"/>
      <c r="G928" s="80"/>
    </row>
    <row r="929">
      <c r="D929" s="79"/>
      <c r="G929" s="80"/>
    </row>
    <row r="930">
      <c r="D930" s="79"/>
      <c r="G930" s="80"/>
    </row>
    <row r="931">
      <c r="D931" s="79"/>
      <c r="G931" s="80"/>
    </row>
    <row r="932">
      <c r="D932" s="79"/>
      <c r="G932" s="80"/>
    </row>
    <row r="933">
      <c r="D933" s="79"/>
      <c r="G933" s="80"/>
    </row>
    <row r="934">
      <c r="D934" s="79"/>
      <c r="G934" s="80"/>
    </row>
    <row r="935">
      <c r="D935" s="79"/>
      <c r="G935" s="80"/>
    </row>
    <row r="936">
      <c r="D936" s="79"/>
      <c r="G936" s="80"/>
    </row>
    <row r="937">
      <c r="D937" s="79"/>
      <c r="G937" s="80"/>
    </row>
    <row r="938">
      <c r="D938" s="79"/>
      <c r="G938" s="80"/>
    </row>
    <row r="939">
      <c r="D939" s="79"/>
      <c r="G939" s="80"/>
    </row>
    <row r="940">
      <c r="D940" s="79"/>
      <c r="G940" s="80"/>
    </row>
    <row r="941">
      <c r="D941" s="79"/>
      <c r="G941" s="80"/>
    </row>
    <row r="942">
      <c r="D942" s="79"/>
      <c r="G942" s="80"/>
    </row>
    <row r="943">
      <c r="D943" s="79"/>
      <c r="G943" s="80"/>
    </row>
    <row r="944">
      <c r="D944" s="79"/>
      <c r="G944" s="80"/>
    </row>
    <row r="945">
      <c r="D945" s="79"/>
      <c r="G945" s="80"/>
    </row>
    <row r="946">
      <c r="D946" s="79"/>
      <c r="G946" s="80"/>
    </row>
    <row r="947">
      <c r="D947" s="79"/>
      <c r="G947" s="80"/>
    </row>
    <row r="948">
      <c r="D948" s="79"/>
      <c r="G948" s="80"/>
    </row>
    <row r="949">
      <c r="D949" s="79"/>
      <c r="G949" s="80"/>
    </row>
    <row r="950">
      <c r="D950" s="79"/>
      <c r="G950" s="80"/>
    </row>
    <row r="951">
      <c r="D951" s="79"/>
      <c r="G951" s="80"/>
    </row>
    <row r="952">
      <c r="D952" s="79"/>
      <c r="G952" s="80"/>
    </row>
    <row r="953">
      <c r="D953" s="79"/>
      <c r="G953" s="80"/>
    </row>
    <row r="954">
      <c r="D954" s="79"/>
      <c r="G954" s="80"/>
    </row>
    <row r="955">
      <c r="D955" s="79"/>
      <c r="G955" s="80"/>
    </row>
    <row r="956">
      <c r="D956" s="79"/>
      <c r="G956" s="80"/>
    </row>
    <row r="957">
      <c r="D957" s="79"/>
      <c r="G957" s="80"/>
    </row>
    <row r="958">
      <c r="D958" s="79"/>
      <c r="G958" s="80"/>
    </row>
    <row r="959">
      <c r="D959" s="79"/>
      <c r="G959" s="80"/>
    </row>
    <row r="960">
      <c r="D960" s="79"/>
      <c r="G960" s="80"/>
    </row>
    <row r="961">
      <c r="D961" s="79"/>
      <c r="G961" s="80"/>
    </row>
    <row r="962">
      <c r="D962" s="79"/>
      <c r="G962" s="80"/>
    </row>
    <row r="963">
      <c r="D963" s="79"/>
      <c r="G963" s="80"/>
    </row>
    <row r="964">
      <c r="D964" s="79"/>
      <c r="G964" s="80"/>
    </row>
    <row r="965">
      <c r="D965" s="79"/>
      <c r="G965" s="80"/>
    </row>
    <row r="966">
      <c r="D966" s="79"/>
      <c r="G966" s="80"/>
    </row>
    <row r="967">
      <c r="D967" s="79"/>
      <c r="G967" s="80"/>
    </row>
    <row r="968">
      <c r="D968" s="79"/>
      <c r="G968" s="80"/>
    </row>
    <row r="969">
      <c r="D969" s="79"/>
      <c r="G969" s="80"/>
    </row>
    <row r="970">
      <c r="D970" s="79"/>
      <c r="G970" s="80"/>
    </row>
    <row r="971">
      <c r="D971" s="79"/>
      <c r="G971" s="80"/>
    </row>
    <row r="972">
      <c r="D972" s="79"/>
      <c r="G972" s="80"/>
    </row>
    <row r="973">
      <c r="D973" s="79"/>
      <c r="G973" s="80"/>
    </row>
    <row r="974">
      <c r="D974" s="79"/>
      <c r="G974" s="80"/>
    </row>
    <row r="975">
      <c r="D975" s="79"/>
      <c r="G975" s="80"/>
    </row>
    <row r="976">
      <c r="D976" s="79"/>
      <c r="G976" s="80"/>
    </row>
    <row r="977">
      <c r="D977" s="79"/>
      <c r="G977" s="80"/>
    </row>
    <row r="978">
      <c r="D978" s="79"/>
      <c r="G978" s="80"/>
    </row>
    <row r="979">
      <c r="D979" s="79"/>
      <c r="G979" s="80"/>
    </row>
    <row r="980">
      <c r="D980" s="79"/>
      <c r="G980" s="80"/>
    </row>
    <row r="981">
      <c r="D981" s="79"/>
      <c r="G981" s="80"/>
    </row>
    <row r="982">
      <c r="D982" s="79"/>
      <c r="G982" s="80"/>
    </row>
    <row r="983">
      <c r="D983" s="79"/>
      <c r="G983" s="80"/>
    </row>
    <row r="984">
      <c r="D984" s="79"/>
      <c r="G984" s="80"/>
    </row>
    <row r="985">
      <c r="D985" s="79"/>
      <c r="G985" s="80"/>
    </row>
    <row r="986">
      <c r="D986" s="79"/>
      <c r="G986" s="80"/>
    </row>
    <row r="987">
      <c r="D987" s="79"/>
      <c r="G987" s="80"/>
    </row>
    <row r="988">
      <c r="D988" s="79"/>
      <c r="G988" s="80"/>
    </row>
    <row r="989">
      <c r="D989" s="79"/>
      <c r="G989" s="80"/>
    </row>
    <row r="990">
      <c r="D990" s="79"/>
      <c r="G990" s="80"/>
    </row>
    <row r="991">
      <c r="D991" s="79"/>
      <c r="G991" s="80"/>
    </row>
    <row r="992">
      <c r="D992" s="79"/>
      <c r="G992" s="80"/>
    </row>
    <row r="993">
      <c r="D993" s="79"/>
      <c r="G993" s="80"/>
    </row>
    <row r="994">
      <c r="D994" s="79"/>
      <c r="G994" s="80"/>
    </row>
    <row r="995">
      <c r="D995" s="79"/>
      <c r="G995" s="80"/>
    </row>
    <row r="996">
      <c r="D996" s="79"/>
      <c r="G996" s="80"/>
    </row>
    <row r="997">
      <c r="D997" s="79"/>
      <c r="G997" s="80"/>
    </row>
    <row r="998">
      <c r="D998" s="79"/>
      <c r="G998" s="80"/>
    </row>
    <row r="999">
      <c r="D999" s="79"/>
      <c r="G999" s="80"/>
    </row>
    <row r="1000">
      <c r="D1000" s="79"/>
      <c r="G1000" s="80"/>
    </row>
    <row r="1001">
      <c r="D1001" s="79"/>
      <c r="G1001" s="80"/>
    </row>
    <row r="1002">
      <c r="D1002" s="79"/>
      <c r="G1002" s="80"/>
    </row>
  </sheetData>
  <autoFilter ref="$A$1:$H$201"/>
  <conditionalFormatting sqref="H2:H201">
    <cfRule type="cellIs" dxfId="5" priority="1" stopIfTrue="1" operator="equal">
      <formula>"Science"</formula>
    </cfRule>
  </conditionalFormatting>
  <conditionalFormatting sqref="H2:H201">
    <cfRule type="cellIs" dxfId="6" priority="2" stopIfTrue="1" operator="equal">
      <formula>"Tech"</formula>
    </cfRule>
  </conditionalFormatting>
  <conditionalFormatting sqref="H2:H201">
    <cfRule type="cellIs" dxfId="7" priority="3" stopIfTrue="1" operator="equal">
      <formula>"Cosmic"</formula>
    </cfRule>
  </conditionalFormatting>
  <conditionalFormatting sqref="H2:H201">
    <cfRule type="cellIs" dxfId="8" priority="4" stopIfTrue="1" operator="equal">
      <formula>"Mystic"</formula>
    </cfRule>
  </conditionalFormatting>
  <conditionalFormatting sqref="H2:H201">
    <cfRule type="cellIs" dxfId="9" priority="5" stopIfTrue="1" operator="equal">
      <formula>"Skill"</formula>
    </cfRule>
  </conditionalFormatting>
  <conditionalFormatting sqref="H2:H201">
    <cfRule type="cellIs" dxfId="10" priority="6" stopIfTrue="1" operator="equal">
      <formula>"Mutant"</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112.0"/>
    <col customWidth="1" min="3" max="3" width="94.5"/>
    <col customWidth="1" min="8" max="8" width="17.0"/>
    <col customWidth="1" min="9" max="9" width="25.63"/>
  </cols>
  <sheetData>
    <row r="3">
      <c r="A3" s="2" t="s">
        <v>1</v>
      </c>
    </row>
    <row r="4">
      <c r="A4" s="4"/>
    </row>
    <row r="5">
      <c r="A5" s="5"/>
      <c r="B5" s="5"/>
      <c r="C5" s="5"/>
    </row>
    <row r="6">
      <c r="A6" s="6" t="s">
        <v>7</v>
      </c>
    </row>
    <row r="7">
      <c r="A7" s="8"/>
      <c r="B7" s="10"/>
      <c r="C7" s="11"/>
    </row>
    <row r="8">
      <c r="A8" s="8" t="s">
        <v>13</v>
      </c>
      <c r="B8" s="10" t="s">
        <v>14</v>
      </c>
      <c r="C8" s="11"/>
    </row>
    <row r="9">
      <c r="A9" s="8" t="s">
        <v>18</v>
      </c>
      <c r="B9" s="10" t="s">
        <v>20</v>
      </c>
      <c r="C9" s="11"/>
    </row>
    <row r="10">
      <c r="A10" s="8" t="s">
        <v>24</v>
      </c>
      <c r="B10" s="10" t="s">
        <v>26</v>
      </c>
      <c r="C10" s="11"/>
    </row>
    <row r="11">
      <c r="A11" s="16"/>
      <c r="B11" s="20"/>
      <c r="C11" s="11"/>
    </row>
    <row r="12">
      <c r="A12" s="16"/>
      <c r="B12" s="20"/>
      <c r="C12" s="11"/>
    </row>
    <row r="13">
      <c r="A13" s="5"/>
      <c r="B13" s="5"/>
      <c r="C13" s="5"/>
    </row>
    <row r="14">
      <c r="A14" s="6" t="s">
        <v>52</v>
      </c>
    </row>
    <row r="15">
      <c r="A15" s="23" t="s">
        <v>0</v>
      </c>
      <c r="B15" s="23" t="s">
        <v>76</v>
      </c>
      <c r="C15" s="23" t="s">
        <v>78</v>
      </c>
    </row>
    <row r="16">
      <c r="A16" s="24" t="s">
        <v>84</v>
      </c>
      <c r="B16" s="26" t="s">
        <v>93</v>
      </c>
      <c r="C16" s="26" t="s">
        <v>97</v>
      </c>
    </row>
    <row r="17">
      <c r="A17" s="28" t="s">
        <v>103</v>
      </c>
      <c r="B17" s="29" t="s">
        <v>106</v>
      </c>
      <c r="C17" s="29" t="s">
        <v>107</v>
      </c>
    </row>
    <row r="18">
      <c r="A18" s="24" t="s">
        <v>91</v>
      </c>
      <c r="B18" s="26" t="s">
        <v>110</v>
      </c>
      <c r="C18" s="26" t="s">
        <v>111</v>
      </c>
    </row>
    <row r="19">
      <c r="A19" s="28" t="s">
        <v>90</v>
      </c>
      <c r="B19" s="29" t="s">
        <v>113</v>
      </c>
      <c r="C19" s="29" t="s">
        <v>114</v>
      </c>
    </row>
    <row r="20">
      <c r="A20" s="5"/>
      <c r="B20" s="5"/>
      <c r="C20" s="5"/>
    </row>
    <row r="21">
      <c r="A21" s="6" t="s">
        <v>119</v>
      </c>
    </row>
    <row r="22">
      <c r="A22" s="23" t="s">
        <v>0</v>
      </c>
      <c r="B22" s="23" t="s">
        <v>76</v>
      </c>
      <c r="C22" s="23" t="s">
        <v>78</v>
      </c>
    </row>
    <row r="23">
      <c r="A23" s="24" t="s">
        <v>120</v>
      </c>
      <c r="B23" s="26" t="s">
        <v>121</v>
      </c>
      <c r="C23" s="26" t="s">
        <v>122</v>
      </c>
    </row>
    <row r="24">
      <c r="A24" s="28" t="s">
        <v>123</v>
      </c>
      <c r="B24" s="29" t="s">
        <v>124</v>
      </c>
      <c r="C24" s="29" t="s">
        <v>125</v>
      </c>
    </row>
    <row r="25">
      <c r="A25" s="24" t="s">
        <v>126</v>
      </c>
      <c r="B25" s="26" t="s">
        <v>127</v>
      </c>
      <c r="C25" s="26" t="s">
        <v>128</v>
      </c>
    </row>
    <row r="26">
      <c r="A26" s="5"/>
      <c r="B26" s="5"/>
      <c r="C26" s="5"/>
    </row>
    <row r="27">
      <c r="A27" s="6" t="s">
        <v>129</v>
      </c>
    </row>
    <row r="28">
      <c r="A28" s="23" t="s">
        <v>0</v>
      </c>
      <c r="B28" s="23" t="s">
        <v>76</v>
      </c>
      <c r="C28" s="23" t="s">
        <v>78</v>
      </c>
    </row>
    <row r="29">
      <c r="A29" s="24" t="s">
        <v>82</v>
      </c>
      <c r="B29" s="26" t="s">
        <v>130</v>
      </c>
      <c r="C29" s="26" t="s">
        <v>131</v>
      </c>
    </row>
    <row r="30">
      <c r="A30" s="28" t="s">
        <v>79</v>
      </c>
      <c r="B30" s="29" t="s">
        <v>132</v>
      </c>
      <c r="C30" s="29" t="s">
        <v>133</v>
      </c>
    </row>
    <row r="31">
      <c r="A31" s="24" t="s">
        <v>135</v>
      </c>
      <c r="B31" s="26" t="s">
        <v>136</v>
      </c>
      <c r="C31" s="26" t="s">
        <v>137</v>
      </c>
    </row>
    <row r="32">
      <c r="A32" s="28" t="s">
        <v>138</v>
      </c>
      <c r="B32" s="29" t="s">
        <v>140</v>
      </c>
      <c r="C32" s="29" t="s">
        <v>141</v>
      </c>
    </row>
    <row r="33">
      <c r="A33" s="24" t="s">
        <v>143</v>
      </c>
      <c r="B33" s="26" t="s">
        <v>145</v>
      </c>
      <c r="C33" s="26" t="s">
        <v>146</v>
      </c>
    </row>
    <row r="34">
      <c r="A34" s="5"/>
      <c r="B34" s="5"/>
      <c r="C34" s="5"/>
    </row>
    <row r="35">
      <c r="A35" s="6" t="s">
        <v>148</v>
      </c>
    </row>
    <row r="36">
      <c r="A36" s="23" t="s">
        <v>0</v>
      </c>
      <c r="B36" s="23" t="s">
        <v>76</v>
      </c>
      <c r="C36" s="23" t="s">
        <v>78</v>
      </c>
    </row>
    <row r="37">
      <c r="A37" s="24" t="s">
        <v>155</v>
      </c>
      <c r="B37" s="26" t="s">
        <v>156</v>
      </c>
      <c r="C37" s="26" t="s">
        <v>157</v>
      </c>
    </row>
    <row r="38">
      <c r="A38" s="28" t="s">
        <v>158</v>
      </c>
      <c r="B38" s="29" t="s">
        <v>159</v>
      </c>
      <c r="C38" s="29" t="s">
        <v>160</v>
      </c>
    </row>
    <row r="39">
      <c r="A39" s="24" t="s">
        <v>161</v>
      </c>
      <c r="B39" s="26" t="s">
        <v>162</v>
      </c>
      <c r="C39" s="26" t="s">
        <v>164</v>
      </c>
    </row>
    <row r="40">
      <c r="A40" s="28" t="s">
        <v>165</v>
      </c>
      <c r="B40" s="29" t="s">
        <v>166</v>
      </c>
      <c r="C40" s="29" t="s">
        <v>167</v>
      </c>
    </row>
    <row r="41">
      <c r="A41" s="24" t="s">
        <v>153</v>
      </c>
      <c r="B41" s="26" t="s">
        <v>168</v>
      </c>
      <c r="C41" s="26" t="s">
        <v>169</v>
      </c>
    </row>
    <row r="42">
      <c r="A42" s="28" t="s">
        <v>170</v>
      </c>
      <c r="B42" s="29" t="s">
        <v>171</v>
      </c>
      <c r="C42" s="29" t="s">
        <v>173</v>
      </c>
    </row>
    <row r="43">
      <c r="A43" s="24" t="s">
        <v>174</v>
      </c>
      <c r="B43" s="26" t="s">
        <v>175</v>
      </c>
      <c r="C43" s="26" t="s">
        <v>176</v>
      </c>
    </row>
    <row r="44">
      <c r="A44" s="5"/>
      <c r="B44" s="5"/>
      <c r="C44" s="5"/>
    </row>
    <row r="45">
      <c r="A45" s="6" t="s">
        <v>179</v>
      </c>
    </row>
    <row r="46">
      <c r="A46" s="23" t="s">
        <v>0</v>
      </c>
      <c r="B46" s="23" t="s">
        <v>76</v>
      </c>
      <c r="C46" s="23" t="s">
        <v>78</v>
      </c>
    </row>
    <row r="47">
      <c r="A47" s="24" t="s">
        <v>70</v>
      </c>
      <c r="B47" s="26" t="s">
        <v>182</v>
      </c>
      <c r="C47" s="26" t="s">
        <v>183</v>
      </c>
    </row>
    <row r="48">
      <c r="A48" s="28" t="s">
        <v>66</v>
      </c>
      <c r="B48" s="29" t="s">
        <v>184</v>
      </c>
      <c r="C48" s="29" t="s">
        <v>186</v>
      </c>
    </row>
    <row r="49">
      <c r="A49" s="24" t="s">
        <v>45</v>
      </c>
      <c r="B49" s="26" t="s">
        <v>187</v>
      </c>
      <c r="C49" s="26" t="s">
        <v>188</v>
      </c>
    </row>
    <row r="50">
      <c r="A50" s="28" t="s">
        <v>142</v>
      </c>
      <c r="B50" s="29" t="s">
        <v>191</v>
      </c>
      <c r="C50" s="29" t="s">
        <v>192</v>
      </c>
    </row>
    <row r="51">
      <c r="A51" s="24" t="s">
        <v>194</v>
      </c>
      <c r="B51" s="26" t="s">
        <v>195</v>
      </c>
      <c r="C51" s="26" t="s">
        <v>196</v>
      </c>
    </row>
    <row r="52">
      <c r="A52" s="5"/>
      <c r="B52" s="5"/>
      <c r="C52" s="5"/>
    </row>
    <row r="53">
      <c r="A53" s="6" t="s">
        <v>198</v>
      </c>
    </row>
    <row r="54">
      <c r="A54" s="23" t="s">
        <v>0</v>
      </c>
      <c r="B54" s="23" t="s">
        <v>76</v>
      </c>
      <c r="C54" s="23" t="s">
        <v>78</v>
      </c>
    </row>
    <row r="55">
      <c r="A55" s="24" t="s">
        <v>88</v>
      </c>
      <c r="B55" s="26" t="s">
        <v>200</v>
      </c>
      <c r="C55" s="26" t="s">
        <v>201</v>
      </c>
    </row>
    <row r="56">
      <c r="A56" s="28" t="s">
        <v>85</v>
      </c>
      <c r="B56" s="29" t="s">
        <v>202</v>
      </c>
      <c r="C56" s="29" t="s">
        <v>203</v>
      </c>
    </row>
    <row r="57">
      <c r="A57" s="24" t="s">
        <v>204</v>
      </c>
      <c r="B57" s="26" t="s">
        <v>205</v>
      </c>
      <c r="C57" s="26" t="s">
        <v>206</v>
      </c>
    </row>
    <row r="58">
      <c r="A58" s="28" t="s">
        <v>185</v>
      </c>
      <c r="B58" s="29" t="s">
        <v>207</v>
      </c>
      <c r="C58" s="29" t="s">
        <v>208</v>
      </c>
    </row>
    <row r="59">
      <c r="A59" s="24" t="s">
        <v>210</v>
      </c>
      <c r="B59" s="26" t="s">
        <v>211</v>
      </c>
      <c r="C59" s="26" t="s">
        <v>212</v>
      </c>
    </row>
    <row r="67">
      <c r="A67" s="47" t="s">
        <v>215</v>
      </c>
      <c r="B67" s="48"/>
      <c r="C67" s="50"/>
    </row>
    <row r="68">
      <c r="A68" s="52" t="s">
        <v>219</v>
      </c>
      <c r="B68" s="52" t="s">
        <v>221</v>
      </c>
      <c r="C68" s="52" t="s">
        <v>222</v>
      </c>
    </row>
    <row r="69">
      <c r="A69" s="18" t="s">
        <v>223</v>
      </c>
      <c r="B69" s="18" t="s">
        <v>225</v>
      </c>
      <c r="C69" s="18" t="s">
        <v>225</v>
      </c>
    </row>
    <row r="70">
      <c r="A70" s="18" t="s">
        <v>226</v>
      </c>
      <c r="B70" s="18" t="s">
        <v>227</v>
      </c>
      <c r="C70" s="18" t="s">
        <v>227</v>
      </c>
    </row>
    <row r="71">
      <c r="A71" s="18" t="s">
        <v>229</v>
      </c>
      <c r="B71" s="18" t="s">
        <v>231</v>
      </c>
      <c r="C71" s="18" t="s">
        <v>232</v>
      </c>
    </row>
    <row r="72">
      <c r="A72" s="18" t="s">
        <v>99</v>
      </c>
      <c r="B72" s="18" t="s">
        <v>233</v>
      </c>
      <c r="C72" s="18" t="s">
        <v>235</v>
      </c>
    </row>
    <row r="73">
      <c r="A73" s="18" t="s">
        <v>147</v>
      </c>
      <c r="B73" s="18" t="s">
        <v>70</v>
      </c>
      <c r="C73" s="18" t="s">
        <v>142</v>
      </c>
    </row>
    <row r="74">
      <c r="A74" s="18" t="s">
        <v>134</v>
      </c>
      <c r="B74" s="18" t="s">
        <v>237</v>
      </c>
      <c r="C74" s="18" t="s">
        <v>238</v>
      </c>
    </row>
  </sheetData>
  <mergeCells count="16">
    <mergeCell ref="A3:C3"/>
    <mergeCell ref="A4:C4"/>
    <mergeCell ref="A6:C6"/>
    <mergeCell ref="B7:C7"/>
    <mergeCell ref="B8:C8"/>
    <mergeCell ref="B9:C9"/>
    <mergeCell ref="B10:C10"/>
    <mergeCell ref="A53:C53"/>
    <mergeCell ref="A67:C67"/>
    <mergeCell ref="B11:C11"/>
    <mergeCell ref="B12:C12"/>
    <mergeCell ref="A14:C14"/>
    <mergeCell ref="A21:C21"/>
    <mergeCell ref="A27:C27"/>
    <mergeCell ref="A35:C35"/>
    <mergeCell ref="A45:C45"/>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38"/>
    <col customWidth="1" min="2" max="2" width="94.5"/>
    <col customWidth="1" min="3" max="3" width="87.38"/>
  </cols>
  <sheetData>
    <row r="1">
      <c r="A1" s="2" t="s">
        <v>1</v>
      </c>
    </row>
    <row r="2">
      <c r="A2" s="4"/>
    </row>
    <row r="3">
      <c r="A3" s="5"/>
      <c r="B3" s="5"/>
      <c r="C3" s="5"/>
    </row>
    <row r="4">
      <c r="A4" s="6" t="s">
        <v>7</v>
      </c>
    </row>
    <row r="5">
      <c r="A5" s="8"/>
      <c r="B5" s="10"/>
      <c r="C5" s="11"/>
    </row>
    <row r="6">
      <c r="A6" s="8" t="s">
        <v>13</v>
      </c>
      <c r="B6" s="10" t="s">
        <v>14</v>
      </c>
      <c r="C6" s="11"/>
    </row>
    <row r="7">
      <c r="A7" s="8" t="s">
        <v>18</v>
      </c>
      <c r="B7" s="10" t="s">
        <v>20</v>
      </c>
      <c r="C7" s="11"/>
    </row>
    <row r="8">
      <c r="A8" s="8" t="s">
        <v>24</v>
      </c>
      <c r="B8" s="10" t="s">
        <v>26</v>
      </c>
      <c r="C8" s="11"/>
    </row>
    <row r="9">
      <c r="A9" s="16"/>
      <c r="B9" s="20"/>
      <c r="C9" s="11"/>
    </row>
    <row r="10">
      <c r="A10" s="16"/>
      <c r="B10" s="20"/>
      <c r="C10" s="11"/>
    </row>
    <row r="11">
      <c r="A11" s="5"/>
      <c r="B11" s="5"/>
      <c r="C11" s="5"/>
    </row>
    <row r="12">
      <c r="A12" s="6" t="s">
        <v>52</v>
      </c>
    </row>
    <row r="13">
      <c r="A13" s="23" t="s">
        <v>0</v>
      </c>
      <c r="B13" s="23" t="s">
        <v>76</v>
      </c>
      <c r="C13" s="23" t="s">
        <v>78</v>
      </c>
    </row>
    <row r="14" ht="54.0" customHeight="1">
      <c r="A14" s="24" t="s">
        <v>323</v>
      </c>
      <c r="B14" s="26" t="s">
        <v>324</v>
      </c>
      <c r="C14" s="26" t="s">
        <v>326</v>
      </c>
    </row>
    <row r="15">
      <c r="A15" s="28" t="s">
        <v>103</v>
      </c>
      <c r="B15" s="29" t="s">
        <v>106</v>
      </c>
      <c r="C15" s="29" t="s">
        <v>107</v>
      </c>
    </row>
    <row r="16">
      <c r="A16" s="24" t="s">
        <v>91</v>
      </c>
      <c r="B16" s="26" t="s">
        <v>110</v>
      </c>
      <c r="C16" s="26" t="s">
        <v>111</v>
      </c>
    </row>
    <row r="17">
      <c r="A17" s="28" t="s">
        <v>90</v>
      </c>
      <c r="B17" s="29" t="s">
        <v>113</v>
      </c>
      <c r="C17" s="29" t="s">
        <v>114</v>
      </c>
    </row>
    <row r="18">
      <c r="A18" s="5"/>
      <c r="B18" s="5"/>
      <c r="C18" s="5"/>
    </row>
    <row r="19">
      <c r="A19" s="6" t="s">
        <v>119</v>
      </c>
    </row>
    <row r="20">
      <c r="A20" s="23" t="s">
        <v>0</v>
      </c>
      <c r="B20" s="23" t="s">
        <v>76</v>
      </c>
      <c r="C20" s="23" t="s">
        <v>78</v>
      </c>
    </row>
    <row r="21">
      <c r="A21" s="24" t="s">
        <v>120</v>
      </c>
      <c r="B21" s="26" t="s">
        <v>121</v>
      </c>
      <c r="C21" s="26" t="s">
        <v>122</v>
      </c>
    </row>
    <row r="22">
      <c r="A22" s="28" t="s">
        <v>123</v>
      </c>
      <c r="B22" s="29" t="s">
        <v>124</v>
      </c>
      <c r="C22" s="29" t="s">
        <v>125</v>
      </c>
    </row>
    <row r="23">
      <c r="A23" s="24" t="s">
        <v>126</v>
      </c>
      <c r="B23" s="26" t="s">
        <v>127</v>
      </c>
      <c r="C23" s="26" t="s">
        <v>128</v>
      </c>
    </row>
    <row r="24">
      <c r="A24" s="5"/>
      <c r="B24" s="5"/>
      <c r="C24" s="5"/>
    </row>
    <row r="25">
      <c r="A25" s="6" t="s">
        <v>129</v>
      </c>
    </row>
    <row r="26">
      <c r="A26" s="23" t="s">
        <v>0</v>
      </c>
      <c r="B26" s="23" t="s">
        <v>76</v>
      </c>
      <c r="C26" s="23" t="s">
        <v>78</v>
      </c>
    </row>
    <row r="27">
      <c r="A27" s="24" t="s">
        <v>82</v>
      </c>
      <c r="B27" s="26" t="s">
        <v>130</v>
      </c>
      <c r="C27" s="26" t="s">
        <v>131</v>
      </c>
    </row>
    <row r="28">
      <c r="A28" s="28" t="s">
        <v>79</v>
      </c>
      <c r="B28" s="29" t="s">
        <v>132</v>
      </c>
      <c r="C28" s="29" t="s">
        <v>133</v>
      </c>
    </row>
    <row r="29">
      <c r="A29" s="24" t="s">
        <v>135</v>
      </c>
      <c r="B29" s="26" t="s">
        <v>136</v>
      </c>
      <c r="C29" s="26" t="s">
        <v>137</v>
      </c>
    </row>
    <row r="30">
      <c r="A30" s="28" t="s">
        <v>138</v>
      </c>
      <c r="B30" s="29" t="s">
        <v>140</v>
      </c>
      <c r="C30" s="29" t="s">
        <v>141</v>
      </c>
    </row>
    <row r="31">
      <c r="A31" s="24" t="s">
        <v>143</v>
      </c>
      <c r="B31" s="26" t="s">
        <v>145</v>
      </c>
      <c r="C31" s="26" t="s">
        <v>146</v>
      </c>
    </row>
    <row r="32">
      <c r="A32" s="5"/>
      <c r="B32" s="5"/>
      <c r="C32" s="5"/>
    </row>
    <row r="33">
      <c r="A33" s="6" t="s">
        <v>148</v>
      </c>
    </row>
    <row r="34">
      <c r="A34" s="23" t="s">
        <v>0</v>
      </c>
      <c r="B34" s="23" t="s">
        <v>76</v>
      </c>
      <c r="C34" s="23" t="s">
        <v>78</v>
      </c>
    </row>
    <row r="35">
      <c r="A35" s="24" t="s">
        <v>155</v>
      </c>
      <c r="B35" s="26" t="s">
        <v>156</v>
      </c>
      <c r="C35" s="26" t="s">
        <v>157</v>
      </c>
    </row>
    <row r="36">
      <c r="A36" s="28" t="s">
        <v>158</v>
      </c>
      <c r="B36" s="29" t="s">
        <v>159</v>
      </c>
      <c r="C36" s="29" t="s">
        <v>160</v>
      </c>
    </row>
    <row r="37">
      <c r="A37" s="24" t="s">
        <v>161</v>
      </c>
      <c r="B37" s="26" t="s">
        <v>162</v>
      </c>
      <c r="C37" s="26" t="s">
        <v>164</v>
      </c>
    </row>
    <row r="38">
      <c r="A38" s="28" t="s">
        <v>165</v>
      </c>
      <c r="B38" s="29" t="s">
        <v>166</v>
      </c>
      <c r="C38" s="29" t="s">
        <v>167</v>
      </c>
    </row>
    <row r="39">
      <c r="A39" s="24" t="s">
        <v>153</v>
      </c>
      <c r="B39" s="26" t="s">
        <v>168</v>
      </c>
      <c r="C39" s="26" t="s">
        <v>169</v>
      </c>
    </row>
    <row r="40">
      <c r="A40" s="28" t="s">
        <v>170</v>
      </c>
      <c r="B40" s="29" t="s">
        <v>171</v>
      </c>
      <c r="C40" s="29" t="s">
        <v>173</v>
      </c>
    </row>
    <row r="41">
      <c r="A41" s="24" t="s">
        <v>174</v>
      </c>
      <c r="B41" s="26" t="s">
        <v>175</v>
      </c>
      <c r="C41" s="26" t="s">
        <v>176</v>
      </c>
    </row>
    <row r="42">
      <c r="A42" s="5"/>
      <c r="B42" s="5"/>
      <c r="C42" s="5"/>
    </row>
    <row r="43">
      <c r="A43" s="6" t="s">
        <v>179</v>
      </c>
    </row>
    <row r="44">
      <c r="A44" s="23" t="s">
        <v>0</v>
      </c>
      <c r="B44" s="23" t="s">
        <v>76</v>
      </c>
      <c r="C44" s="23" t="s">
        <v>78</v>
      </c>
    </row>
    <row r="45">
      <c r="A45" s="24" t="s">
        <v>70</v>
      </c>
      <c r="B45" s="26" t="s">
        <v>182</v>
      </c>
      <c r="C45" s="26" t="s">
        <v>183</v>
      </c>
    </row>
    <row r="46">
      <c r="A46" s="28" t="s">
        <v>66</v>
      </c>
      <c r="B46" s="29" t="s">
        <v>184</v>
      </c>
      <c r="C46" s="29" t="s">
        <v>186</v>
      </c>
    </row>
    <row r="47">
      <c r="A47" s="24" t="s">
        <v>45</v>
      </c>
      <c r="B47" s="26" t="s">
        <v>187</v>
      </c>
      <c r="C47" s="26" t="s">
        <v>188</v>
      </c>
    </row>
    <row r="48">
      <c r="A48" s="28" t="s">
        <v>142</v>
      </c>
      <c r="B48" s="29" t="s">
        <v>191</v>
      </c>
      <c r="C48" s="29" t="s">
        <v>192</v>
      </c>
    </row>
    <row r="49">
      <c r="A49" s="24" t="s">
        <v>194</v>
      </c>
      <c r="B49" s="26" t="s">
        <v>195</v>
      </c>
      <c r="C49" s="26" t="s">
        <v>196</v>
      </c>
    </row>
    <row r="50">
      <c r="A50" s="5"/>
      <c r="B50" s="5"/>
      <c r="C50" s="5"/>
    </row>
    <row r="51">
      <c r="A51" s="6" t="s">
        <v>198</v>
      </c>
    </row>
    <row r="52">
      <c r="A52" s="23" t="s">
        <v>0</v>
      </c>
      <c r="B52" s="23" t="s">
        <v>76</v>
      </c>
      <c r="C52" s="23" t="s">
        <v>78</v>
      </c>
    </row>
    <row r="53">
      <c r="A53" s="24" t="s">
        <v>88</v>
      </c>
      <c r="B53" s="26" t="s">
        <v>200</v>
      </c>
      <c r="C53" s="26" t="s">
        <v>201</v>
      </c>
    </row>
    <row r="54">
      <c r="A54" s="28" t="s">
        <v>85</v>
      </c>
      <c r="B54" s="29" t="s">
        <v>202</v>
      </c>
      <c r="C54" s="29" t="s">
        <v>203</v>
      </c>
    </row>
    <row r="55">
      <c r="A55" s="24" t="s">
        <v>204</v>
      </c>
      <c r="B55" s="26" t="s">
        <v>205</v>
      </c>
      <c r="C55" s="26" t="s">
        <v>206</v>
      </c>
    </row>
    <row r="56">
      <c r="A56" s="28" t="s">
        <v>185</v>
      </c>
      <c r="B56" s="29" t="s">
        <v>207</v>
      </c>
      <c r="C56" s="29" t="s">
        <v>208</v>
      </c>
    </row>
    <row r="57">
      <c r="A57" s="24" t="s">
        <v>210</v>
      </c>
      <c r="B57" s="26" t="s">
        <v>211</v>
      </c>
      <c r="C57" s="26" t="s">
        <v>212</v>
      </c>
    </row>
    <row r="61">
      <c r="A61" s="24" t="s">
        <v>339</v>
      </c>
      <c r="B61" s="26" t="s">
        <v>340</v>
      </c>
      <c r="C61" s="26" t="s">
        <v>97</v>
      </c>
    </row>
    <row r="75">
      <c r="B75" s="66" t="s">
        <v>215</v>
      </c>
    </row>
    <row r="76">
      <c r="C76" s="66" t="s">
        <v>221</v>
      </c>
      <c r="D76" s="66" t="s">
        <v>222</v>
      </c>
    </row>
    <row r="77">
      <c r="B77" s="66" t="s">
        <v>223</v>
      </c>
      <c r="C77" s="66" t="s">
        <v>225</v>
      </c>
      <c r="D77" s="66" t="s">
        <v>225</v>
      </c>
    </row>
    <row r="78">
      <c r="B78" s="66" t="s">
        <v>226</v>
      </c>
      <c r="C78" s="66" t="s">
        <v>227</v>
      </c>
      <c r="D78" s="66" t="s">
        <v>227</v>
      </c>
    </row>
    <row r="79">
      <c r="B79" s="66" t="s">
        <v>229</v>
      </c>
      <c r="C79" s="66" t="s">
        <v>231</v>
      </c>
      <c r="D79" s="66" t="s">
        <v>232</v>
      </c>
    </row>
    <row r="80">
      <c r="B80" s="66" t="s">
        <v>99</v>
      </c>
      <c r="C80" s="66" t="s">
        <v>233</v>
      </c>
      <c r="D80" s="66" t="s">
        <v>235</v>
      </c>
    </row>
    <row r="81">
      <c r="B81" s="66" t="s">
        <v>147</v>
      </c>
      <c r="C81" s="66" t="s">
        <v>70</v>
      </c>
      <c r="D81" s="66" t="s">
        <v>142</v>
      </c>
    </row>
    <row r="82">
      <c r="B82" s="66" t="s">
        <v>134</v>
      </c>
      <c r="C82" s="66" t="s">
        <v>237</v>
      </c>
      <c r="D82" s="66" t="s">
        <v>238</v>
      </c>
    </row>
  </sheetData>
  <mergeCells count="15">
    <mergeCell ref="B9:C9"/>
    <mergeCell ref="B10:C10"/>
    <mergeCell ref="A12:C12"/>
    <mergeCell ref="A19:C19"/>
    <mergeCell ref="A25:C25"/>
    <mergeCell ref="A33:C33"/>
    <mergeCell ref="A43:C43"/>
    <mergeCell ref="A51:C51"/>
    <mergeCell ref="A1:C1"/>
    <mergeCell ref="A2:C2"/>
    <mergeCell ref="A4:C4"/>
    <mergeCell ref="B5:C5"/>
    <mergeCell ref="B6:C6"/>
    <mergeCell ref="B7:C7"/>
    <mergeCell ref="B8:C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13"/>
    <col customWidth="1" min="2" max="2" width="23.75"/>
    <col customWidth="1" min="3" max="3" width="15.5"/>
  </cols>
  <sheetData>
    <row r="1">
      <c r="A1" s="67" t="s">
        <v>362</v>
      </c>
      <c r="B1" s="68" t="s">
        <v>367</v>
      </c>
      <c r="C1" s="69" t="s">
        <v>11</v>
      </c>
    </row>
    <row r="2">
      <c r="A2" s="70">
        <v>1.0</v>
      </c>
      <c r="B2" s="71" t="s">
        <v>371</v>
      </c>
      <c r="C2" s="72" t="s">
        <v>108</v>
      </c>
    </row>
    <row r="3">
      <c r="A3" s="70">
        <v>2.0</v>
      </c>
      <c r="B3" s="71" t="s">
        <v>373</v>
      </c>
      <c r="C3" s="72" t="s">
        <v>108</v>
      </c>
    </row>
    <row r="4">
      <c r="A4" s="70">
        <v>3.0</v>
      </c>
      <c r="B4" s="71" t="s">
        <v>375</v>
      </c>
      <c r="C4" s="72" t="s">
        <v>108</v>
      </c>
    </row>
    <row r="5">
      <c r="A5" s="70">
        <v>4.0</v>
      </c>
      <c r="B5" s="71" t="s">
        <v>376</v>
      </c>
      <c r="C5" s="72" t="s">
        <v>108</v>
      </c>
    </row>
    <row r="6">
      <c r="A6" s="70">
        <v>5.0</v>
      </c>
      <c r="B6" s="71" t="s">
        <v>290</v>
      </c>
      <c r="C6" s="72" t="s">
        <v>108</v>
      </c>
    </row>
    <row r="7">
      <c r="A7" s="70">
        <v>6.0</v>
      </c>
      <c r="B7" s="71" t="s">
        <v>379</v>
      </c>
      <c r="C7" s="72" t="s">
        <v>108</v>
      </c>
    </row>
    <row r="8">
      <c r="A8" s="70">
        <v>7.0</v>
      </c>
      <c r="B8" s="71" t="s">
        <v>301</v>
      </c>
      <c r="C8" s="72" t="s">
        <v>108</v>
      </c>
    </row>
    <row r="9">
      <c r="A9" s="70">
        <v>8.0</v>
      </c>
      <c r="B9" s="71" t="s">
        <v>380</v>
      </c>
      <c r="C9" s="72" t="s">
        <v>108</v>
      </c>
    </row>
    <row r="10">
      <c r="A10" s="70">
        <v>9.0</v>
      </c>
      <c r="B10" s="71" t="s">
        <v>314</v>
      </c>
      <c r="C10" s="72" t="s">
        <v>108</v>
      </c>
    </row>
    <row r="11">
      <c r="A11" s="70">
        <v>10.0</v>
      </c>
      <c r="B11" s="71" t="s">
        <v>382</v>
      </c>
      <c r="C11" s="72" t="s">
        <v>108</v>
      </c>
    </row>
    <row r="12">
      <c r="A12" s="70">
        <v>11.0</v>
      </c>
      <c r="B12" s="71" t="s">
        <v>79</v>
      </c>
      <c r="C12" s="72" t="s">
        <v>108</v>
      </c>
    </row>
    <row r="13">
      <c r="A13" s="70">
        <v>12.0</v>
      </c>
      <c r="B13" s="71" t="s">
        <v>384</v>
      </c>
      <c r="C13" s="72" t="s">
        <v>108</v>
      </c>
    </row>
    <row r="14">
      <c r="A14" s="70">
        <v>13.0</v>
      </c>
      <c r="B14" s="71" t="s">
        <v>385</v>
      </c>
      <c r="C14" s="72" t="s">
        <v>108</v>
      </c>
    </row>
    <row r="15">
      <c r="A15" s="70">
        <v>14.0</v>
      </c>
      <c r="B15" s="71" t="s">
        <v>386</v>
      </c>
      <c r="C15" s="72" t="s">
        <v>108</v>
      </c>
    </row>
    <row r="16">
      <c r="A16" s="70">
        <v>15.0</v>
      </c>
      <c r="B16" s="71" t="s">
        <v>295</v>
      </c>
      <c r="C16" s="72" t="s">
        <v>108</v>
      </c>
    </row>
    <row r="17">
      <c r="A17" s="70">
        <v>16.0</v>
      </c>
      <c r="B17" s="71" t="s">
        <v>388</v>
      </c>
      <c r="C17" s="72" t="s">
        <v>108</v>
      </c>
    </row>
    <row r="18">
      <c r="A18" s="70">
        <v>17.0</v>
      </c>
      <c r="B18" s="71" t="s">
        <v>389</v>
      </c>
      <c r="C18" s="72" t="s">
        <v>108</v>
      </c>
    </row>
    <row r="19">
      <c r="A19" s="70">
        <v>18.0</v>
      </c>
      <c r="B19" s="71" t="s">
        <v>189</v>
      </c>
      <c r="C19" s="72" t="s">
        <v>108</v>
      </c>
    </row>
    <row r="20">
      <c r="A20" s="70">
        <v>19.0</v>
      </c>
      <c r="B20" s="71" t="s">
        <v>390</v>
      </c>
      <c r="C20" s="72" t="s">
        <v>108</v>
      </c>
    </row>
    <row r="21">
      <c r="A21" s="70">
        <v>20.0</v>
      </c>
      <c r="B21" s="71" t="s">
        <v>391</v>
      </c>
      <c r="C21" s="72" t="s">
        <v>108</v>
      </c>
    </row>
    <row r="22">
      <c r="A22" s="70">
        <v>21.0</v>
      </c>
      <c r="B22" s="71" t="s">
        <v>360</v>
      </c>
      <c r="C22" s="72" t="s">
        <v>108</v>
      </c>
    </row>
    <row r="23">
      <c r="A23" s="70">
        <v>22.0</v>
      </c>
      <c r="B23" s="71" t="s">
        <v>333</v>
      </c>
      <c r="C23" s="72" t="s">
        <v>108</v>
      </c>
    </row>
    <row r="24">
      <c r="A24" s="70">
        <v>23.0</v>
      </c>
      <c r="B24" s="71" t="s">
        <v>143</v>
      </c>
      <c r="C24" s="72" t="s">
        <v>108</v>
      </c>
    </row>
    <row r="25">
      <c r="A25" s="70">
        <v>24.0</v>
      </c>
      <c r="B25" s="71" t="s">
        <v>271</v>
      </c>
      <c r="C25" s="72" t="s">
        <v>108</v>
      </c>
    </row>
    <row r="26">
      <c r="A26" s="70">
        <v>25.0</v>
      </c>
      <c r="B26" s="71" t="s">
        <v>394</v>
      </c>
      <c r="C26" s="72" t="s">
        <v>108</v>
      </c>
    </row>
    <row r="27">
      <c r="A27" s="70">
        <v>26.0</v>
      </c>
      <c r="B27" s="71" t="s">
        <v>395</v>
      </c>
      <c r="C27" s="72" t="s">
        <v>108</v>
      </c>
    </row>
    <row r="28">
      <c r="A28" s="70">
        <v>27.0</v>
      </c>
      <c r="B28" s="71" t="s">
        <v>243</v>
      </c>
      <c r="C28" s="72" t="s">
        <v>108</v>
      </c>
    </row>
    <row r="29">
      <c r="A29" s="70">
        <v>28.0</v>
      </c>
      <c r="B29" s="71" t="s">
        <v>397</v>
      </c>
      <c r="C29" s="72" t="s">
        <v>108</v>
      </c>
    </row>
    <row r="30">
      <c r="A30" s="70">
        <v>29.0</v>
      </c>
      <c r="B30" s="71" t="s">
        <v>398</v>
      </c>
      <c r="C30" s="72" t="s">
        <v>108</v>
      </c>
    </row>
    <row r="31">
      <c r="A31" s="70">
        <v>30.0</v>
      </c>
      <c r="B31" s="71" t="s">
        <v>82</v>
      </c>
      <c r="C31" s="72" t="s">
        <v>108</v>
      </c>
    </row>
    <row r="32">
      <c r="A32" s="70">
        <v>31.0</v>
      </c>
      <c r="B32" s="71" t="s">
        <v>319</v>
      </c>
      <c r="C32" s="72" t="s">
        <v>108</v>
      </c>
    </row>
    <row r="33">
      <c r="A33" s="70">
        <v>32.0</v>
      </c>
      <c r="B33" s="71" t="s">
        <v>138</v>
      </c>
      <c r="C33" s="72" t="s">
        <v>108</v>
      </c>
    </row>
    <row r="34">
      <c r="A34" s="70">
        <v>33.0</v>
      </c>
      <c r="B34" s="71" t="s">
        <v>253</v>
      </c>
      <c r="C34" s="72" t="s">
        <v>108</v>
      </c>
    </row>
    <row r="35">
      <c r="A35" s="70">
        <v>34.0</v>
      </c>
      <c r="B35" s="71" t="s">
        <v>250</v>
      </c>
      <c r="C35" s="72" t="s">
        <v>108</v>
      </c>
    </row>
    <row r="36">
      <c r="A36" s="70">
        <v>35.0</v>
      </c>
      <c r="B36" s="71" t="s">
        <v>401</v>
      </c>
      <c r="C36" s="72" t="s">
        <v>108</v>
      </c>
    </row>
    <row r="37">
      <c r="A37" s="70">
        <v>36.0</v>
      </c>
      <c r="B37" s="71" t="s">
        <v>402</v>
      </c>
      <c r="C37" s="72" t="s">
        <v>108</v>
      </c>
    </row>
    <row r="38">
      <c r="A38" s="70">
        <v>37.0</v>
      </c>
      <c r="B38" s="71" t="s">
        <v>404</v>
      </c>
      <c r="C38" s="72" t="s">
        <v>108</v>
      </c>
    </row>
    <row r="39">
      <c r="A39" s="70">
        <v>38.0</v>
      </c>
      <c r="B39" s="71" t="s">
        <v>405</v>
      </c>
      <c r="C39" s="72" t="s">
        <v>108</v>
      </c>
    </row>
    <row r="40">
      <c r="A40" s="70">
        <v>39.0</v>
      </c>
      <c r="B40" s="71" t="s">
        <v>406</v>
      </c>
      <c r="C40" s="72" t="s">
        <v>108</v>
      </c>
    </row>
    <row r="41">
      <c r="A41" s="70">
        <v>40.0</v>
      </c>
      <c r="B41" s="71" t="s">
        <v>408</v>
      </c>
      <c r="C41" s="72" t="s">
        <v>108</v>
      </c>
    </row>
    <row r="42">
      <c r="A42" s="70">
        <v>41.0</v>
      </c>
      <c r="B42" s="71" t="s">
        <v>409</v>
      </c>
      <c r="C42" s="72" t="s">
        <v>108</v>
      </c>
    </row>
    <row r="43">
      <c r="A43" s="70">
        <v>42.0</v>
      </c>
      <c r="B43" s="71" t="s">
        <v>334</v>
      </c>
      <c r="C43" s="72" t="s">
        <v>108</v>
      </c>
    </row>
    <row r="44">
      <c r="A44" s="70">
        <v>43.0</v>
      </c>
      <c r="B44" s="71" t="s">
        <v>411</v>
      </c>
      <c r="C44" s="72" t="s">
        <v>108</v>
      </c>
    </row>
    <row r="45">
      <c r="A45" s="70">
        <v>44.0</v>
      </c>
      <c r="B45" s="71" t="s">
        <v>347</v>
      </c>
      <c r="C45" s="72" t="s">
        <v>108</v>
      </c>
    </row>
    <row r="46">
      <c r="A46" s="70">
        <v>45.0</v>
      </c>
      <c r="B46" s="71" t="s">
        <v>412</v>
      </c>
      <c r="C46" s="72" t="s">
        <v>108</v>
      </c>
    </row>
    <row r="47">
      <c r="A47" s="70">
        <v>46.0</v>
      </c>
      <c r="B47" s="71" t="s">
        <v>414</v>
      </c>
      <c r="C47" s="72" t="s">
        <v>108</v>
      </c>
    </row>
    <row r="48">
      <c r="A48" s="70">
        <v>47.0</v>
      </c>
      <c r="B48" s="71" t="s">
        <v>415</v>
      </c>
      <c r="C48" s="72" t="s">
        <v>108</v>
      </c>
    </row>
    <row r="49">
      <c r="A49" s="70">
        <v>48.0</v>
      </c>
      <c r="B49" s="71" t="s">
        <v>416</v>
      </c>
      <c r="C49" s="72" t="s">
        <v>108</v>
      </c>
    </row>
    <row r="50">
      <c r="A50" s="70">
        <v>49.0</v>
      </c>
      <c r="B50" s="71" t="s">
        <v>135</v>
      </c>
      <c r="C50" s="72" t="s">
        <v>108</v>
      </c>
    </row>
    <row r="51">
      <c r="A51" s="70">
        <v>50.0</v>
      </c>
      <c r="B51" s="71" t="s">
        <v>344</v>
      </c>
      <c r="C51" s="72" t="s">
        <v>108</v>
      </c>
    </row>
    <row r="52">
      <c r="A52" s="70">
        <v>51.0</v>
      </c>
      <c r="B52" s="71" t="s">
        <v>322</v>
      </c>
      <c r="C52" s="72" t="s">
        <v>108</v>
      </c>
    </row>
    <row r="53">
      <c r="A53" s="70">
        <v>52.0</v>
      </c>
      <c r="B53" s="71" t="s">
        <v>81</v>
      </c>
      <c r="C53" s="72" t="s">
        <v>108</v>
      </c>
    </row>
    <row r="54">
      <c r="A54" s="70">
        <v>53.0</v>
      </c>
      <c r="B54" s="71" t="s">
        <v>418</v>
      </c>
      <c r="C54" s="72" t="s">
        <v>147</v>
      </c>
    </row>
    <row r="55">
      <c r="A55" s="70">
        <v>54.0</v>
      </c>
      <c r="B55" s="71" t="s">
        <v>420</v>
      </c>
      <c r="C55" s="72" t="s">
        <v>147</v>
      </c>
    </row>
    <row r="56">
      <c r="A56" s="70">
        <v>55.0</v>
      </c>
      <c r="B56" s="71" t="s">
        <v>305</v>
      </c>
      <c r="C56" s="72" t="s">
        <v>147</v>
      </c>
    </row>
    <row r="57">
      <c r="A57" s="70">
        <v>56.0</v>
      </c>
      <c r="B57" s="71" t="s">
        <v>421</v>
      </c>
      <c r="C57" s="72" t="s">
        <v>147</v>
      </c>
    </row>
    <row r="58">
      <c r="A58" s="70">
        <v>57.0</v>
      </c>
      <c r="B58" s="71" t="s">
        <v>423</v>
      </c>
      <c r="C58" s="72" t="s">
        <v>147</v>
      </c>
    </row>
    <row r="59">
      <c r="A59" s="70">
        <v>58.0</v>
      </c>
      <c r="B59" s="71" t="s">
        <v>424</v>
      </c>
      <c r="C59" s="72" t="s">
        <v>147</v>
      </c>
    </row>
    <row r="60">
      <c r="A60" s="70">
        <v>59.0</v>
      </c>
      <c r="B60" s="71" t="s">
        <v>320</v>
      </c>
      <c r="C60" s="72" t="s">
        <v>147</v>
      </c>
    </row>
    <row r="61">
      <c r="A61" s="70">
        <v>60.0</v>
      </c>
      <c r="B61" s="71" t="s">
        <v>426</v>
      </c>
      <c r="C61" s="72" t="s">
        <v>147</v>
      </c>
    </row>
    <row r="62">
      <c r="A62" s="70">
        <v>61.0</v>
      </c>
      <c r="B62" s="71" t="s">
        <v>258</v>
      </c>
      <c r="C62" s="72" t="s">
        <v>147</v>
      </c>
    </row>
    <row r="63">
      <c r="A63" s="70">
        <v>62.0</v>
      </c>
      <c r="B63" s="71" t="s">
        <v>428</v>
      </c>
      <c r="C63" s="72" t="s">
        <v>147</v>
      </c>
    </row>
    <row r="64">
      <c r="A64" s="70">
        <v>63.0</v>
      </c>
      <c r="B64" s="71" t="s">
        <v>429</v>
      </c>
      <c r="C64" s="72" t="s">
        <v>147</v>
      </c>
    </row>
    <row r="65">
      <c r="A65" s="70">
        <v>64.0</v>
      </c>
      <c r="B65" s="71" t="s">
        <v>431</v>
      </c>
      <c r="C65" s="72" t="s">
        <v>147</v>
      </c>
    </row>
    <row r="66">
      <c r="A66" s="70">
        <v>65.0</v>
      </c>
      <c r="B66" s="71" t="s">
        <v>432</v>
      </c>
      <c r="C66" s="72" t="s">
        <v>147</v>
      </c>
    </row>
    <row r="67">
      <c r="A67" s="70">
        <v>66.0</v>
      </c>
      <c r="B67" s="71" t="s">
        <v>433</v>
      </c>
      <c r="C67" s="72" t="s">
        <v>147</v>
      </c>
    </row>
    <row r="68">
      <c r="A68" s="70">
        <v>67.0</v>
      </c>
      <c r="B68" s="71" t="s">
        <v>407</v>
      </c>
      <c r="C68" s="72" t="s">
        <v>147</v>
      </c>
    </row>
    <row r="69">
      <c r="A69" s="70">
        <v>68.0</v>
      </c>
      <c r="B69" s="71" t="s">
        <v>181</v>
      </c>
      <c r="C69" s="72" t="s">
        <v>147</v>
      </c>
    </row>
    <row r="70">
      <c r="A70" s="70">
        <v>69.0</v>
      </c>
      <c r="B70" s="71" t="s">
        <v>280</v>
      </c>
      <c r="C70" s="72" t="s">
        <v>147</v>
      </c>
    </row>
    <row r="71">
      <c r="A71" s="70">
        <v>70.0</v>
      </c>
      <c r="B71" s="71" t="s">
        <v>335</v>
      </c>
      <c r="C71" s="72" t="s">
        <v>147</v>
      </c>
    </row>
    <row r="72">
      <c r="A72" s="70">
        <v>71.0</v>
      </c>
      <c r="B72" s="71" t="s">
        <v>434</v>
      </c>
      <c r="C72" s="72" t="s">
        <v>147</v>
      </c>
    </row>
    <row r="73">
      <c r="A73" s="70">
        <v>72.0</v>
      </c>
      <c r="B73" s="71" t="s">
        <v>435</v>
      </c>
      <c r="C73" s="72" t="s">
        <v>147</v>
      </c>
    </row>
    <row r="74">
      <c r="A74" s="70">
        <v>73.0</v>
      </c>
      <c r="B74" s="71" t="s">
        <v>275</v>
      </c>
      <c r="C74" s="72" t="s">
        <v>147</v>
      </c>
    </row>
    <row r="75">
      <c r="A75" s="70">
        <v>74.0</v>
      </c>
      <c r="B75" s="71" t="s">
        <v>45</v>
      </c>
      <c r="C75" s="72" t="s">
        <v>147</v>
      </c>
    </row>
    <row r="76">
      <c r="A76" s="70">
        <v>75.0</v>
      </c>
      <c r="B76" s="71" t="s">
        <v>437</v>
      </c>
      <c r="C76" s="72" t="s">
        <v>147</v>
      </c>
    </row>
    <row r="77">
      <c r="A77" s="70">
        <v>76.0</v>
      </c>
      <c r="B77" s="71" t="s">
        <v>439</v>
      </c>
      <c r="C77" s="72" t="s">
        <v>147</v>
      </c>
    </row>
    <row r="78">
      <c r="A78" s="70">
        <v>77.0</v>
      </c>
      <c r="B78" s="71" t="s">
        <v>440</v>
      </c>
      <c r="C78" s="72" t="s">
        <v>147</v>
      </c>
    </row>
    <row r="79">
      <c r="A79" s="70">
        <v>78.0</v>
      </c>
      <c r="B79" s="71" t="s">
        <v>241</v>
      </c>
      <c r="C79" s="72" t="s">
        <v>147</v>
      </c>
    </row>
    <row r="80">
      <c r="A80" s="70">
        <v>79.0</v>
      </c>
      <c r="B80" s="71" t="s">
        <v>325</v>
      </c>
      <c r="C80" s="72" t="s">
        <v>147</v>
      </c>
    </row>
    <row r="81">
      <c r="A81" s="70">
        <v>80.0</v>
      </c>
      <c r="B81" s="71" t="s">
        <v>349</v>
      </c>
      <c r="C81" s="72" t="s">
        <v>147</v>
      </c>
    </row>
    <row r="82">
      <c r="A82" s="70">
        <v>81.0</v>
      </c>
      <c r="B82" s="71" t="s">
        <v>443</v>
      </c>
      <c r="C82" s="72" t="s">
        <v>147</v>
      </c>
    </row>
    <row r="83">
      <c r="A83" s="70">
        <v>82.0</v>
      </c>
      <c r="B83" s="71" t="s">
        <v>315</v>
      </c>
      <c r="C83" s="72" t="s">
        <v>147</v>
      </c>
    </row>
    <row r="84">
      <c r="A84" s="70">
        <v>83.0</v>
      </c>
      <c r="B84" s="71" t="s">
        <v>444</v>
      </c>
      <c r="C84" s="72" t="s">
        <v>147</v>
      </c>
    </row>
    <row r="85">
      <c r="A85" s="70">
        <v>84.0</v>
      </c>
      <c r="B85" s="71" t="s">
        <v>438</v>
      </c>
      <c r="C85" s="72" t="s">
        <v>147</v>
      </c>
    </row>
    <row r="86">
      <c r="A86" s="70">
        <v>85.0</v>
      </c>
      <c r="B86" s="71" t="s">
        <v>224</v>
      </c>
      <c r="C86" s="72" t="s">
        <v>147</v>
      </c>
    </row>
    <row r="87">
      <c r="A87" s="70">
        <v>86.0</v>
      </c>
      <c r="B87" s="71" t="s">
        <v>307</v>
      </c>
      <c r="C87" s="72" t="s">
        <v>147</v>
      </c>
    </row>
    <row r="88">
      <c r="A88" s="70">
        <v>87.0</v>
      </c>
      <c r="B88" s="71" t="s">
        <v>446</v>
      </c>
      <c r="C88" s="72" t="s">
        <v>147</v>
      </c>
    </row>
    <row r="89">
      <c r="A89" s="70">
        <v>88.0</v>
      </c>
      <c r="B89" s="71" t="s">
        <v>447</v>
      </c>
      <c r="C89" s="72" t="s">
        <v>147</v>
      </c>
    </row>
    <row r="90">
      <c r="A90" s="70">
        <v>89.0</v>
      </c>
      <c r="B90" s="71" t="s">
        <v>317</v>
      </c>
      <c r="C90" s="72" t="s">
        <v>147</v>
      </c>
    </row>
    <row r="91">
      <c r="A91" s="70">
        <v>90.0</v>
      </c>
      <c r="B91" s="71" t="s">
        <v>448</v>
      </c>
      <c r="C91" s="72" t="s">
        <v>147</v>
      </c>
    </row>
    <row r="92">
      <c r="A92" s="70">
        <v>91.0</v>
      </c>
      <c r="B92" s="71" t="s">
        <v>361</v>
      </c>
      <c r="C92" s="72" t="s">
        <v>147</v>
      </c>
    </row>
    <row r="93">
      <c r="A93" s="70">
        <v>92.0</v>
      </c>
      <c r="B93" s="71" t="s">
        <v>449</v>
      </c>
      <c r="C93" s="72" t="s">
        <v>147</v>
      </c>
    </row>
    <row r="94">
      <c r="A94" s="70">
        <v>93.0</v>
      </c>
      <c r="B94" s="71" t="s">
        <v>450</v>
      </c>
      <c r="C94" s="72" t="s">
        <v>147</v>
      </c>
    </row>
    <row r="95">
      <c r="A95" s="70">
        <v>94.0</v>
      </c>
      <c r="B95" s="71" t="s">
        <v>216</v>
      </c>
      <c r="C95" s="72" t="s">
        <v>147</v>
      </c>
    </row>
    <row r="96">
      <c r="A96" s="70">
        <v>95.0</v>
      </c>
      <c r="B96" s="71" t="s">
        <v>452</v>
      </c>
      <c r="C96" s="72" t="s">
        <v>147</v>
      </c>
    </row>
    <row r="97">
      <c r="A97" s="70">
        <v>96.0</v>
      </c>
      <c r="B97" s="71" t="s">
        <v>453</v>
      </c>
      <c r="C97" s="72" t="s">
        <v>147</v>
      </c>
    </row>
    <row r="98">
      <c r="A98" s="70">
        <v>97.0</v>
      </c>
      <c r="B98" s="71" t="s">
        <v>455</v>
      </c>
      <c r="C98" s="72" t="s">
        <v>147</v>
      </c>
    </row>
    <row r="99">
      <c r="A99" s="70">
        <v>98.0</v>
      </c>
      <c r="B99" s="71" t="s">
        <v>257</v>
      </c>
      <c r="C99" s="72" t="s">
        <v>147</v>
      </c>
    </row>
    <row r="100">
      <c r="A100" s="70">
        <v>99.0</v>
      </c>
      <c r="B100" s="71" t="s">
        <v>142</v>
      </c>
      <c r="C100" s="72" t="s">
        <v>147</v>
      </c>
    </row>
    <row r="101">
      <c r="A101" s="70">
        <v>100.0</v>
      </c>
      <c r="B101" s="71" t="s">
        <v>351</v>
      </c>
      <c r="C101" s="72" t="s">
        <v>147</v>
      </c>
    </row>
    <row r="102">
      <c r="A102" s="70">
        <v>101.0</v>
      </c>
      <c r="B102" s="71" t="s">
        <v>363</v>
      </c>
      <c r="C102" s="72" t="s">
        <v>147</v>
      </c>
    </row>
    <row r="103">
      <c r="A103" s="70">
        <v>102.0</v>
      </c>
      <c r="B103" s="71" t="s">
        <v>365</v>
      </c>
      <c r="C103" s="72" t="s">
        <v>147</v>
      </c>
    </row>
    <row r="104">
      <c r="A104" s="70">
        <v>103.0</v>
      </c>
      <c r="B104" s="71" t="s">
        <v>457</v>
      </c>
      <c r="C104" s="72" t="s">
        <v>147</v>
      </c>
    </row>
    <row r="105">
      <c r="A105" s="70">
        <v>104.0</v>
      </c>
      <c r="B105" s="71" t="s">
        <v>366</v>
      </c>
      <c r="C105" s="72" t="s">
        <v>147</v>
      </c>
    </row>
    <row r="106">
      <c r="A106" s="70">
        <v>105.0</v>
      </c>
      <c r="B106" s="71" t="s">
        <v>458</v>
      </c>
      <c r="C106" s="72" t="s">
        <v>147</v>
      </c>
    </row>
    <row r="107">
      <c r="A107" s="70">
        <v>106.0</v>
      </c>
      <c r="B107" s="71" t="s">
        <v>459</v>
      </c>
      <c r="C107" s="72" t="s">
        <v>147</v>
      </c>
    </row>
    <row r="108">
      <c r="A108" s="70">
        <v>107.0</v>
      </c>
      <c r="B108" s="71" t="s">
        <v>268</v>
      </c>
      <c r="C108" s="72" t="s">
        <v>147</v>
      </c>
    </row>
    <row r="109">
      <c r="A109" s="70">
        <v>108.0</v>
      </c>
      <c r="B109" s="71" t="s">
        <v>248</v>
      </c>
      <c r="C109" s="72" t="s">
        <v>147</v>
      </c>
    </row>
    <row r="110">
      <c r="A110" s="70">
        <v>109.0</v>
      </c>
      <c r="B110" s="71" t="s">
        <v>352</v>
      </c>
      <c r="C110" s="72" t="s">
        <v>147</v>
      </c>
    </row>
    <row r="111">
      <c r="A111" s="70">
        <v>110.0</v>
      </c>
      <c r="B111" s="71" t="s">
        <v>267</v>
      </c>
      <c r="C111" s="72" t="s">
        <v>147</v>
      </c>
    </row>
    <row r="112">
      <c r="A112" s="70">
        <v>111.0</v>
      </c>
      <c r="B112" s="71" t="s">
        <v>461</v>
      </c>
      <c r="C112" s="72" t="s">
        <v>134</v>
      </c>
    </row>
    <row r="113">
      <c r="A113" s="70">
        <v>112.0</v>
      </c>
      <c r="B113" s="71" t="s">
        <v>462</v>
      </c>
      <c r="C113" s="72" t="s">
        <v>134</v>
      </c>
    </row>
    <row r="114">
      <c r="A114" s="70">
        <v>113.0</v>
      </c>
      <c r="B114" s="71" t="s">
        <v>464</v>
      </c>
      <c r="C114" s="72" t="s">
        <v>134</v>
      </c>
    </row>
    <row r="115">
      <c r="A115" s="70">
        <v>114.0</v>
      </c>
      <c r="B115" s="71" t="s">
        <v>465</v>
      </c>
      <c r="C115" s="72" t="s">
        <v>134</v>
      </c>
    </row>
    <row r="116">
      <c r="A116" s="70">
        <v>115.0</v>
      </c>
      <c r="B116" s="71" t="s">
        <v>467</v>
      </c>
      <c r="C116" s="72" t="s">
        <v>134</v>
      </c>
    </row>
    <row r="117">
      <c r="A117" s="70">
        <v>116.0</v>
      </c>
      <c r="B117" s="71" t="s">
        <v>193</v>
      </c>
      <c r="C117" s="72" t="s">
        <v>134</v>
      </c>
    </row>
    <row r="118">
      <c r="A118" s="70">
        <v>117.0</v>
      </c>
      <c r="B118" s="71" t="s">
        <v>346</v>
      </c>
      <c r="C118" s="72" t="s">
        <v>134</v>
      </c>
    </row>
    <row r="119">
      <c r="A119" s="70">
        <v>118.0</v>
      </c>
      <c r="B119" s="71" t="s">
        <v>451</v>
      </c>
      <c r="C119" s="72" t="s">
        <v>134</v>
      </c>
    </row>
    <row r="120">
      <c r="A120" s="70">
        <v>119.0</v>
      </c>
      <c r="B120" s="71" t="s">
        <v>469</v>
      </c>
      <c r="C120" s="72" t="s">
        <v>134</v>
      </c>
    </row>
    <row r="121">
      <c r="A121" s="70">
        <v>120.0</v>
      </c>
      <c r="B121" s="71" t="s">
        <v>436</v>
      </c>
      <c r="C121" s="72" t="s">
        <v>134</v>
      </c>
    </row>
    <row r="122">
      <c r="A122" s="70">
        <v>121.0</v>
      </c>
      <c r="B122" s="71" t="s">
        <v>466</v>
      </c>
      <c r="C122" s="72" t="s">
        <v>134</v>
      </c>
    </row>
    <row r="123">
      <c r="A123" s="70">
        <v>122.0</v>
      </c>
      <c r="B123" s="71" t="s">
        <v>341</v>
      </c>
      <c r="C123" s="72" t="s">
        <v>134</v>
      </c>
    </row>
    <row r="124">
      <c r="A124" s="70">
        <v>123.0</v>
      </c>
      <c r="B124" s="71" t="s">
        <v>472</v>
      </c>
      <c r="C124" s="72" t="s">
        <v>134</v>
      </c>
    </row>
    <row r="125">
      <c r="A125" s="70">
        <v>124.0</v>
      </c>
      <c r="B125" s="71" t="s">
        <v>85</v>
      </c>
      <c r="C125" s="72" t="s">
        <v>134</v>
      </c>
    </row>
    <row r="126">
      <c r="A126" s="70">
        <v>125.0</v>
      </c>
      <c r="B126" s="71" t="s">
        <v>441</v>
      </c>
      <c r="C126" s="72" t="s">
        <v>134</v>
      </c>
    </row>
    <row r="127">
      <c r="A127" s="70">
        <v>126.0</v>
      </c>
      <c r="B127" s="71" t="s">
        <v>359</v>
      </c>
      <c r="C127" s="72" t="s">
        <v>134</v>
      </c>
    </row>
    <row r="128">
      <c r="A128" s="70">
        <v>127.0</v>
      </c>
      <c r="B128" s="71" t="s">
        <v>336</v>
      </c>
      <c r="C128" s="72" t="s">
        <v>134</v>
      </c>
    </row>
    <row r="129">
      <c r="A129" s="70">
        <v>128.0</v>
      </c>
      <c r="B129" s="71" t="s">
        <v>282</v>
      </c>
      <c r="C129" s="72" t="s">
        <v>134</v>
      </c>
    </row>
    <row r="130">
      <c r="A130" s="70">
        <v>129.0</v>
      </c>
      <c r="B130" s="71" t="s">
        <v>88</v>
      </c>
      <c r="C130" s="72" t="s">
        <v>134</v>
      </c>
    </row>
    <row r="131">
      <c r="A131" s="70">
        <v>130.0</v>
      </c>
      <c r="B131" s="71" t="s">
        <v>357</v>
      </c>
      <c r="C131" s="72" t="s">
        <v>134</v>
      </c>
    </row>
    <row r="132">
      <c r="A132" s="70">
        <v>131.0</v>
      </c>
      <c r="B132" s="71" t="s">
        <v>217</v>
      </c>
      <c r="C132" s="72" t="s">
        <v>134</v>
      </c>
    </row>
    <row r="133">
      <c r="A133" s="70">
        <v>132.0</v>
      </c>
      <c r="B133" s="71" t="s">
        <v>289</v>
      </c>
      <c r="C133" s="72" t="s">
        <v>134</v>
      </c>
    </row>
    <row r="134">
      <c r="A134" s="70">
        <v>133.0</v>
      </c>
      <c r="B134" s="71" t="s">
        <v>470</v>
      </c>
      <c r="C134" s="72" t="s">
        <v>134</v>
      </c>
    </row>
    <row r="135">
      <c r="A135" s="70">
        <v>134.0</v>
      </c>
      <c r="B135" s="71" t="s">
        <v>476</v>
      </c>
      <c r="C135" s="72" t="s">
        <v>134</v>
      </c>
    </row>
    <row r="136">
      <c r="A136" s="70">
        <v>135.0</v>
      </c>
      <c r="B136" s="71" t="s">
        <v>477</v>
      </c>
      <c r="C136" s="72" t="s">
        <v>134</v>
      </c>
    </row>
    <row r="137">
      <c r="A137" s="70">
        <v>136.0</v>
      </c>
      <c r="B137" s="71" t="s">
        <v>473</v>
      </c>
      <c r="C137" s="72" t="s">
        <v>134</v>
      </c>
    </row>
    <row r="138">
      <c r="A138" s="70">
        <v>137.0</v>
      </c>
      <c r="B138" s="71" t="s">
        <v>294</v>
      </c>
      <c r="C138" s="72" t="s">
        <v>134</v>
      </c>
    </row>
    <row r="139">
      <c r="A139" s="70">
        <v>138.0</v>
      </c>
      <c r="B139" s="71" t="s">
        <v>342</v>
      </c>
      <c r="C139" s="72" t="s">
        <v>134</v>
      </c>
    </row>
    <row r="140">
      <c r="A140" s="70">
        <v>139.0</v>
      </c>
      <c r="B140" s="71" t="s">
        <v>471</v>
      </c>
      <c r="C140" s="72" t="s">
        <v>134</v>
      </c>
    </row>
    <row r="141">
      <c r="A141" s="70">
        <v>140.0</v>
      </c>
      <c r="B141" s="71" t="s">
        <v>480</v>
      </c>
      <c r="C141" s="72" t="s">
        <v>134</v>
      </c>
    </row>
    <row r="142">
      <c r="A142" s="70">
        <v>141.0</v>
      </c>
      <c r="B142" s="71" t="s">
        <v>338</v>
      </c>
      <c r="C142" s="72" t="s">
        <v>134</v>
      </c>
    </row>
    <row r="143">
      <c r="A143" s="70">
        <v>142.0</v>
      </c>
      <c r="B143" s="71" t="s">
        <v>482</v>
      </c>
      <c r="C143" s="72" t="s">
        <v>134</v>
      </c>
    </row>
    <row r="144">
      <c r="A144" s="70">
        <v>143.0</v>
      </c>
      <c r="B144" s="71" t="s">
        <v>337</v>
      </c>
      <c r="C144" s="72" t="s">
        <v>134</v>
      </c>
    </row>
    <row r="145">
      <c r="A145" s="70">
        <v>144.0</v>
      </c>
      <c r="B145" s="71" t="s">
        <v>483</v>
      </c>
      <c r="C145" s="72" t="s">
        <v>134</v>
      </c>
    </row>
    <row r="146">
      <c r="A146" s="70">
        <v>145.0</v>
      </c>
      <c r="B146" s="71" t="s">
        <v>204</v>
      </c>
      <c r="C146" s="72" t="s">
        <v>134</v>
      </c>
    </row>
    <row r="147">
      <c r="A147" s="70">
        <v>146.0</v>
      </c>
      <c r="B147" s="71" t="s">
        <v>296</v>
      </c>
      <c r="C147" s="72" t="s">
        <v>134</v>
      </c>
    </row>
    <row r="148">
      <c r="A148" s="70">
        <v>147.0</v>
      </c>
      <c r="B148" s="71" t="s">
        <v>485</v>
      </c>
      <c r="C148" s="72" t="s">
        <v>134</v>
      </c>
    </row>
    <row r="149">
      <c r="A149" s="70">
        <v>148.0</v>
      </c>
      <c r="B149" s="71" t="s">
        <v>486</v>
      </c>
      <c r="C149" s="72" t="s">
        <v>134</v>
      </c>
    </row>
    <row r="150">
      <c r="A150" s="70">
        <v>149.0</v>
      </c>
      <c r="B150" s="71" t="s">
        <v>487</v>
      </c>
      <c r="C150" s="72" t="s">
        <v>134</v>
      </c>
    </row>
    <row r="151">
      <c r="A151" s="70">
        <v>150.0</v>
      </c>
      <c r="B151" s="71" t="s">
        <v>327</v>
      </c>
      <c r="C151" s="72" t="s">
        <v>134</v>
      </c>
    </row>
    <row r="152">
      <c r="A152" s="70">
        <v>151.0</v>
      </c>
      <c r="B152" s="71" t="s">
        <v>488</v>
      </c>
      <c r="C152" s="72" t="s">
        <v>134</v>
      </c>
    </row>
    <row r="153">
      <c r="A153" s="70">
        <v>152.0</v>
      </c>
      <c r="B153" s="71" t="s">
        <v>489</v>
      </c>
      <c r="C153" s="72" t="s">
        <v>134</v>
      </c>
    </row>
    <row r="154">
      <c r="A154" s="70">
        <v>153.0</v>
      </c>
      <c r="B154" s="71" t="s">
        <v>259</v>
      </c>
      <c r="C154" s="72" t="s">
        <v>134</v>
      </c>
    </row>
    <row r="155">
      <c r="A155" s="70">
        <v>154.0</v>
      </c>
      <c r="B155" s="71" t="s">
        <v>445</v>
      </c>
      <c r="C155" s="72" t="s">
        <v>134</v>
      </c>
    </row>
    <row r="156">
      <c r="A156" s="70">
        <v>155.0</v>
      </c>
      <c r="B156" s="71" t="s">
        <v>265</v>
      </c>
      <c r="C156" s="72" t="s">
        <v>134</v>
      </c>
    </row>
    <row r="157">
      <c r="A157" s="70">
        <v>156.0</v>
      </c>
      <c r="B157" s="71" t="s">
        <v>358</v>
      </c>
      <c r="C157" s="72" t="s">
        <v>134</v>
      </c>
    </row>
    <row r="158">
      <c r="A158" s="70">
        <v>157.0</v>
      </c>
      <c r="B158" s="71" t="s">
        <v>492</v>
      </c>
      <c r="C158" s="72" t="s">
        <v>134</v>
      </c>
    </row>
    <row r="159">
      <c r="A159" s="70">
        <v>158.0</v>
      </c>
      <c r="B159" s="71" t="s">
        <v>493</v>
      </c>
      <c r="C159" s="72" t="s">
        <v>134</v>
      </c>
    </row>
    <row r="160">
      <c r="A160" s="70">
        <v>159.0</v>
      </c>
      <c r="B160" s="71" t="s">
        <v>269</v>
      </c>
      <c r="C160" s="72" t="s">
        <v>134</v>
      </c>
    </row>
    <row r="161">
      <c r="A161" s="70">
        <v>160.0</v>
      </c>
      <c r="B161" s="71" t="s">
        <v>185</v>
      </c>
      <c r="C161" s="72" t="s">
        <v>134</v>
      </c>
    </row>
    <row r="162">
      <c r="A162" s="70">
        <v>161.0</v>
      </c>
      <c r="B162" s="71" t="s">
        <v>495</v>
      </c>
      <c r="C162" s="72" t="s">
        <v>134</v>
      </c>
    </row>
    <row r="163">
      <c r="A163" s="70">
        <v>162.0</v>
      </c>
      <c r="B163" s="71" t="s">
        <v>496</v>
      </c>
      <c r="C163" s="72" t="s">
        <v>134</v>
      </c>
    </row>
    <row r="164">
      <c r="A164" s="70">
        <v>163.0</v>
      </c>
      <c r="B164" s="71" t="s">
        <v>497</v>
      </c>
      <c r="C164" s="72" t="s">
        <v>134</v>
      </c>
    </row>
    <row r="165">
      <c r="A165" s="70">
        <v>164.0</v>
      </c>
      <c r="B165" s="71" t="s">
        <v>498</v>
      </c>
      <c r="C165" s="72" t="s">
        <v>134</v>
      </c>
    </row>
    <row r="166">
      <c r="A166" s="70">
        <v>165.0</v>
      </c>
      <c r="B166" s="71" t="s">
        <v>500</v>
      </c>
      <c r="C166" s="72" t="s">
        <v>43</v>
      </c>
    </row>
    <row r="167">
      <c r="A167" s="70">
        <v>166.0</v>
      </c>
      <c r="B167" s="71" t="s">
        <v>368</v>
      </c>
      <c r="C167" s="72" t="s">
        <v>43</v>
      </c>
    </row>
    <row r="168">
      <c r="A168" s="70">
        <v>167.0</v>
      </c>
      <c r="B168" s="71" t="s">
        <v>501</v>
      </c>
      <c r="C168" s="72" t="s">
        <v>43</v>
      </c>
    </row>
    <row r="169">
      <c r="A169" s="70">
        <v>168.0</v>
      </c>
      <c r="B169" s="71" t="s">
        <v>502</v>
      </c>
      <c r="C169" s="72" t="s">
        <v>43</v>
      </c>
    </row>
    <row r="170">
      <c r="A170" s="70">
        <v>169.0</v>
      </c>
      <c r="B170" s="71" t="s">
        <v>254</v>
      </c>
      <c r="C170" s="72" t="s">
        <v>43</v>
      </c>
    </row>
    <row r="171">
      <c r="A171" s="70">
        <v>170.0</v>
      </c>
      <c r="B171" s="71" t="s">
        <v>504</v>
      </c>
      <c r="C171" s="72" t="s">
        <v>43</v>
      </c>
    </row>
    <row r="172">
      <c r="A172" s="70">
        <v>171.0</v>
      </c>
      <c r="B172" s="71" t="s">
        <v>505</v>
      </c>
      <c r="C172" s="72" t="s">
        <v>43</v>
      </c>
    </row>
    <row r="173">
      <c r="A173" s="70">
        <v>172.0</v>
      </c>
      <c r="B173" s="71" t="s">
        <v>507</v>
      </c>
      <c r="C173" s="72" t="s">
        <v>43</v>
      </c>
    </row>
    <row r="174">
      <c r="A174" s="70">
        <v>173.0</v>
      </c>
      <c r="B174" s="71" t="s">
        <v>508</v>
      </c>
      <c r="C174" s="72" t="s">
        <v>43</v>
      </c>
    </row>
    <row r="175">
      <c r="A175" s="70">
        <v>174.0</v>
      </c>
      <c r="B175" s="71" t="s">
        <v>149</v>
      </c>
      <c r="C175" s="72" t="s">
        <v>43</v>
      </c>
    </row>
    <row r="176">
      <c r="A176" s="70">
        <v>175.0</v>
      </c>
      <c r="B176" s="71" t="s">
        <v>240</v>
      </c>
      <c r="C176" s="72" t="s">
        <v>43</v>
      </c>
    </row>
    <row r="177">
      <c r="A177" s="70">
        <v>176.0</v>
      </c>
      <c r="B177" s="71" t="s">
        <v>91</v>
      </c>
      <c r="C177" s="72" t="s">
        <v>43</v>
      </c>
    </row>
    <row r="178">
      <c r="A178" s="70">
        <v>177.0</v>
      </c>
      <c r="B178" s="71" t="s">
        <v>90</v>
      </c>
      <c r="C178" s="72" t="s">
        <v>43</v>
      </c>
    </row>
    <row r="179">
      <c r="A179" s="70">
        <v>178.0</v>
      </c>
      <c r="B179" s="71" t="s">
        <v>356</v>
      </c>
      <c r="C179" s="72" t="s">
        <v>43</v>
      </c>
    </row>
    <row r="180">
      <c r="A180" s="70">
        <v>179.0</v>
      </c>
      <c r="B180" s="71" t="s">
        <v>456</v>
      </c>
      <c r="C180" s="72" t="s">
        <v>43</v>
      </c>
    </row>
    <row r="181">
      <c r="A181" s="70">
        <v>180.0</v>
      </c>
      <c r="B181" s="71" t="s">
        <v>172</v>
      </c>
      <c r="C181" s="72" t="s">
        <v>43</v>
      </c>
    </row>
    <row r="182">
      <c r="A182" s="70">
        <v>181.0</v>
      </c>
      <c r="B182" s="71" t="s">
        <v>354</v>
      </c>
      <c r="C182" s="72" t="s">
        <v>43</v>
      </c>
    </row>
    <row r="183">
      <c r="A183" s="70">
        <v>182.0</v>
      </c>
      <c r="B183" s="71" t="s">
        <v>510</v>
      </c>
      <c r="C183" s="72" t="s">
        <v>43</v>
      </c>
    </row>
    <row r="184">
      <c r="A184" s="70">
        <v>183.0</v>
      </c>
      <c r="B184" s="71" t="s">
        <v>475</v>
      </c>
      <c r="C184" s="72" t="s">
        <v>43</v>
      </c>
    </row>
    <row r="185">
      <c r="A185" s="70">
        <v>184.0</v>
      </c>
      <c r="B185" s="71" t="s">
        <v>94</v>
      </c>
      <c r="C185" s="72" t="s">
        <v>43</v>
      </c>
    </row>
    <row r="186">
      <c r="A186" s="70">
        <v>185.0</v>
      </c>
      <c r="B186" s="71" t="s">
        <v>293</v>
      </c>
      <c r="C186" s="72" t="s">
        <v>43</v>
      </c>
    </row>
    <row r="187">
      <c r="A187" s="70">
        <v>186.0</v>
      </c>
      <c r="B187" s="71" t="s">
        <v>512</v>
      </c>
      <c r="C187" s="72" t="s">
        <v>43</v>
      </c>
    </row>
    <row r="188">
      <c r="A188" s="70">
        <v>187.0</v>
      </c>
      <c r="B188" s="71" t="s">
        <v>513</v>
      </c>
      <c r="C188" s="72" t="s">
        <v>43</v>
      </c>
    </row>
    <row r="189">
      <c r="A189" s="70">
        <v>188.0</v>
      </c>
      <c r="B189" s="71" t="s">
        <v>419</v>
      </c>
      <c r="C189" s="72" t="s">
        <v>43</v>
      </c>
    </row>
    <row r="190">
      <c r="A190" s="70">
        <v>189.0</v>
      </c>
      <c r="B190" s="71" t="s">
        <v>378</v>
      </c>
      <c r="C190" s="72" t="s">
        <v>43</v>
      </c>
    </row>
    <row r="191">
      <c r="A191" s="70">
        <v>190.0</v>
      </c>
      <c r="B191" s="71" t="s">
        <v>95</v>
      </c>
      <c r="C191" s="72" t="s">
        <v>43</v>
      </c>
    </row>
    <row r="192">
      <c r="A192" s="70">
        <v>191.0</v>
      </c>
      <c r="B192" s="71" t="s">
        <v>299</v>
      </c>
      <c r="C192" s="72" t="s">
        <v>43</v>
      </c>
    </row>
    <row r="193">
      <c r="A193" s="70">
        <v>192.0</v>
      </c>
      <c r="B193" s="71" t="s">
        <v>515</v>
      </c>
      <c r="C193" s="72" t="s">
        <v>43</v>
      </c>
    </row>
    <row r="194">
      <c r="A194" s="70">
        <v>193.0</v>
      </c>
      <c r="B194" s="71" t="s">
        <v>516</v>
      </c>
      <c r="C194" s="72" t="s">
        <v>43</v>
      </c>
    </row>
    <row r="195">
      <c r="A195" s="70">
        <v>194.0</v>
      </c>
      <c r="B195" s="71" t="s">
        <v>286</v>
      </c>
      <c r="C195" s="72" t="s">
        <v>43</v>
      </c>
    </row>
    <row r="196">
      <c r="A196" s="70">
        <v>195.0</v>
      </c>
      <c r="B196" s="71" t="s">
        <v>209</v>
      </c>
      <c r="C196" s="72" t="s">
        <v>43</v>
      </c>
    </row>
    <row r="197">
      <c r="A197" s="70">
        <v>196.0</v>
      </c>
      <c r="B197" s="71" t="s">
        <v>287</v>
      </c>
      <c r="C197" s="72" t="s">
        <v>43</v>
      </c>
    </row>
    <row r="198">
      <c r="A198" s="70">
        <v>197.0</v>
      </c>
      <c r="B198" s="71" t="s">
        <v>463</v>
      </c>
      <c r="C198" s="72" t="s">
        <v>43</v>
      </c>
    </row>
    <row r="199">
      <c r="A199" s="70">
        <v>198.0</v>
      </c>
      <c r="B199" s="71" t="s">
        <v>329</v>
      </c>
      <c r="C199" s="72" t="s">
        <v>43</v>
      </c>
    </row>
    <row r="200">
      <c r="A200" s="70">
        <v>199.0</v>
      </c>
      <c r="B200" s="71" t="s">
        <v>396</v>
      </c>
      <c r="C200" s="72" t="s">
        <v>43</v>
      </c>
    </row>
    <row r="201">
      <c r="A201" s="70">
        <v>200.0</v>
      </c>
      <c r="B201" s="71" t="s">
        <v>284</v>
      </c>
      <c r="C201" s="72" t="s">
        <v>43</v>
      </c>
    </row>
    <row r="202">
      <c r="A202" s="70">
        <v>201.0</v>
      </c>
      <c r="B202" s="71" t="s">
        <v>517</v>
      </c>
      <c r="C202" s="72" t="s">
        <v>43</v>
      </c>
    </row>
    <row r="203">
      <c r="A203" s="70">
        <v>202.0</v>
      </c>
      <c r="B203" s="71" t="s">
        <v>468</v>
      </c>
      <c r="C203" s="72" t="s">
        <v>43</v>
      </c>
    </row>
    <row r="204">
      <c r="A204" s="70">
        <v>203.0</v>
      </c>
      <c r="B204" s="71" t="s">
        <v>230</v>
      </c>
      <c r="C204" s="72" t="s">
        <v>43</v>
      </c>
    </row>
    <row r="205">
      <c r="A205" s="70">
        <v>204.0</v>
      </c>
      <c r="B205" s="71" t="s">
        <v>355</v>
      </c>
      <c r="C205" s="72" t="s">
        <v>43</v>
      </c>
    </row>
    <row r="206">
      <c r="A206" s="70">
        <v>205.0</v>
      </c>
      <c r="B206" s="71" t="s">
        <v>518</v>
      </c>
      <c r="C206" s="72" t="s">
        <v>43</v>
      </c>
    </row>
    <row r="207">
      <c r="A207" s="70">
        <v>206.0</v>
      </c>
      <c r="B207" s="71" t="s">
        <v>519</v>
      </c>
      <c r="C207" s="72" t="s">
        <v>43</v>
      </c>
    </row>
    <row r="208">
      <c r="A208" s="70">
        <v>207.0</v>
      </c>
      <c r="B208" s="71" t="s">
        <v>270</v>
      </c>
      <c r="C208" s="72" t="s">
        <v>43</v>
      </c>
    </row>
    <row r="209">
      <c r="A209" s="70">
        <v>208.0</v>
      </c>
      <c r="B209" s="71" t="s">
        <v>511</v>
      </c>
      <c r="C209" s="72" t="s">
        <v>43</v>
      </c>
    </row>
    <row r="210">
      <c r="A210" s="70">
        <v>209.0</v>
      </c>
      <c r="B210" s="71" t="s">
        <v>520</v>
      </c>
      <c r="C210" s="72" t="s">
        <v>43</v>
      </c>
    </row>
    <row r="211">
      <c r="A211" s="70">
        <v>210.0</v>
      </c>
      <c r="B211" s="71" t="s">
        <v>521</v>
      </c>
      <c r="C211" s="72" t="s">
        <v>43</v>
      </c>
    </row>
    <row r="212">
      <c r="A212" s="70">
        <v>211.0</v>
      </c>
      <c r="B212" s="71" t="s">
        <v>400</v>
      </c>
      <c r="C212" s="72" t="s">
        <v>43</v>
      </c>
    </row>
    <row r="213">
      <c r="A213" s="70">
        <v>212.0</v>
      </c>
      <c r="B213" s="71" t="s">
        <v>509</v>
      </c>
      <c r="C213" s="72" t="s">
        <v>43</v>
      </c>
    </row>
    <row r="214">
      <c r="A214" s="70">
        <v>213.0</v>
      </c>
      <c r="B214" s="71" t="s">
        <v>348</v>
      </c>
      <c r="C214" s="72" t="s">
        <v>43</v>
      </c>
    </row>
    <row r="215">
      <c r="A215" s="70">
        <v>214.0</v>
      </c>
      <c r="B215" s="71" t="s">
        <v>523</v>
      </c>
      <c r="C215" s="72" t="s">
        <v>43</v>
      </c>
    </row>
    <row r="216">
      <c r="A216" s="70">
        <v>215.0</v>
      </c>
      <c r="B216" s="71" t="s">
        <v>524</v>
      </c>
      <c r="C216" s="72" t="s">
        <v>43</v>
      </c>
    </row>
    <row r="217">
      <c r="A217" s="70">
        <v>216.0</v>
      </c>
      <c r="B217" s="71" t="s">
        <v>246</v>
      </c>
      <c r="C217" s="72" t="s">
        <v>43</v>
      </c>
    </row>
    <row r="218">
      <c r="A218" s="70">
        <v>217.0</v>
      </c>
      <c r="B218" s="71" t="s">
        <v>514</v>
      </c>
      <c r="C218" s="72" t="s">
        <v>43</v>
      </c>
    </row>
    <row r="219">
      <c r="A219" s="70">
        <v>218.0</v>
      </c>
      <c r="B219" s="71" t="s">
        <v>484</v>
      </c>
      <c r="C219" s="72" t="s">
        <v>43</v>
      </c>
    </row>
    <row r="220">
      <c r="A220" s="70">
        <v>219.0</v>
      </c>
      <c r="B220" s="71" t="s">
        <v>525</v>
      </c>
      <c r="C220" s="72" t="s">
        <v>152</v>
      </c>
    </row>
    <row r="221">
      <c r="A221" s="70">
        <v>220.0</v>
      </c>
      <c r="B221" s="71" t="s">
        <v>526</v>
      </c>
      <c r="C221" s="72" t="s">
        <v>152</v>
      </c>
    </row>
    <row r="222">
      <c r="A222" s="70">
        <v>221.0</v>
      </c>
      <c r="B222" s="71" t="s">
        <v>527</v>
      </c>
      <c r="C222" s="72" t="s">
        <v>152</v>
      </c>
    </row>
    <row r="223">
      <c r="A223" s="70">
        <v>222.0</v>
      </c>
      <c r="B223" s="71" t="s">
        <v>528</v>
      </c>
      <c r="C223" s="72" t="s">
        <v>152</v>
      </c>
    </row>
    <row r="224">
      <c r="A224" s="70">
        <v>223.0</v>
      </c>
      <c r="B224" s="71" t="s">
        <v>529</v>
      </c>
      <c r="C224" s="72" t="s">
        <v>152</v>
      </c>
    </row>
    <row r="225">
      <c r="A225" s="70">
        <v>224.0</v>
      </c>
      <c r="B225" s="71" t="s">
        <v>381</v>
      </c>
      <c r="C225" s="72" t="s">
        <v>152</v>
      </c>
    </row>
    <row r="226">
      <c r="A226" s="70">
        <v>225.0</v>
      </c>
      <c r="B226" s="71" t="s">
        <v>75</v>
      </c>
      <c r="C226" s="72" t="s">
        <v>152</v>
      </c>
    </row>
    <row r="227">
      <c r="A227" s="70">
        <v>226.0</v>
      </c>
      <c r="B227" s="71" t="s">
        <v>236</v>
      </c>
      <c r="C227" s="72" t="s">
        <v>152</v>
      </c>
    </row>
    <row r="228">
      <c r="A228" s="70">
        <v>227.0</v>
      </c>
      <c r="B228" s="71" t="s">
        <v>239</v>
      </c>
      <c r="C228" s="72" t="s">
        <v>152</v>
      </c>
    </row>
    <row r="229">
      <c r="A229" s="70">
        <v>228.0</v>
      </c>
      <c r="B229" s="71" t="s">
        <v>530</v>
      </c>
      <c r="C229" s="72" t="s">
        <v>152</v>
      </c>
    </row>
    <row r="230">
      <c r="A230" s="70">
        <v>229.0</v>
      </c>
      <c r="B230" s="71" t="s">
        <v>370</v>
      </c>
      <c r="C230" s="72" t="s">
        <v>152</v>
      </c>
    </row>
    <row r="231">
      <c r="A231" s="70">
        <v>230.0</v>
      </c>
      <c r="B231" s="71" t="s">
        <v>73</v>
      </c>
      <c r="C231" s="72" t="s">
        <v>152</v>
      </c>
    </row>
    <row r="232">
      <c r="A232" s="70">
        <v>231.0</v>
      </c>
      <c r="B232" s="71" t="s">
        <v>313</v>
      </c>
      <c r="C232" s="72" t="s">
        <v>152</v>
      </c>
    </row>
    <row r="233">
      <c r="A233" s="70">
        <v>232.0</v>
      </c>
      <c r="B233" s="71" t="s">
        <v>321</v>
      </c>
      <c r="C233" s="72" t="s">
        <v>152</v>
      </c>
    </row>
    <row r="234">
      <c r="A234" s="70">
        <v>233.0</v>
      </c>
      <c r="B234" s="71" t="s">
        <v>71</v>
      </c>
      <c r="C234" s="72" t="s">
        <v>152</v>
      </c>
    </row>
    <row r="235">
      <c r="A235" s="70">
        <v>234.0</v>
      </c>
      <c r="B235" s="71" t="s">
        <v>150</v>
      </c>
      <c r="C235" s="72" t="s">
        <v>152</v>
      </c>
    </row>
    <row r="236">
      <c r="A236" s="70">
        <v>235.0</v>
      </c>
      <c r="B236" s="71" t="s">
        <v>126</v>
      </c>
      <c r="C236" s="72" t="s">
        <v>152</v>
      </c>
    </row>
    <row r="237">
      <c r="A237" s="70">
        <v>236.0</v>
      </c>
      <c r="B237" s="71" t="s">
        <v>218</v>
      </c>
      <c r="C237" s="72" t="s">
        <v>152</v>
      </c>
    </row>
    <row r="238">
      <c r="A238" s="70">
        <v>237.0</v>
      </c>
      <c r="B238" s="71" t="s">
        <v>285</v>
      </c>
      <c r="C238" s="72" t="s">
        <v>152</v>
      </c>
    </row>
    <row r="239">
      <c r="A239" s="70">
        <v>238.0</v>
      </c>
      <c r="B239" s="71" t="s">
        <v>430</v>
      </c>
      <c r="C239" s="72" t="s">
        <v>152</v>
      </c>
    </row>
    <row r="240">
      <c r="A240" s="70">
        <v>239.0</v>
      </c>
      <c r="B240" s="71" t="s">
        <v>531</v>
      </c>
      <c r="C240" s="72" t="s">
        <v>152</v>
      </c>
    </row>
    <row r="241">
      <c r="A241" s="70">
        <v>240.0</v>
      </c>
      <c r="B241" s="71" t="s">
        <v>532</v>
      </c>
      <c r="C241" s="72" t="s">
        <v>152</v>
      </c>
    </row>
    <row r="242">
      <c r="A242" s="70">
        <v>241.0</v>
      </c>
      <c r="B242" s="71" t="s">
        <v>328</v>
      </c>
      <c r="C242" s="72" t="s">
        <v>152</v>
      </c>
    </row>
    <row r="243">
      <c r="A243" s="70">
        <v>242.0</v>
      </c>
      <c r="B243" s="71" t="s">
        <v>533</v>
      </c>
      <c r="C243" s="72" t="s">
        <v>152</v>
      </c>
    </row>
    <row r="244">
      <c r="A244" s="70">
        <v>243.0</v>
      </c>
      <c r="B244" s="71" t="s">
        <v>534</v>
      </c>
      <c r="C244" s="72" t="s">
        <v>152</v>
      </c>
    </row>
    <row r="245">
      <c r="A245" s="70">
        <v>244.0</v>
      </c>
      <c r="B245" s="71" t="s">
        <v>460</v>
      </c>
      <c r="C245" s="72" t="s">
        <v>152</v>
      </c>
    </row>
    <row r="246">
      <c r="A246" s="70">
        <v>245.0</v>
      </c>
      <c r="B246" s="71" t="s">
        <v>316</v>
      </c>
      <c r="C246" s="72" t="s">
        <v>152</v>
      </c>
    </row>
    <row r="247">
      <c r="A247" s="70">
        <v>246.0</v>
      </c>
      <c r="B247" s="71" t="s">
        <v>318</v>
      </c>
      <c r="C247" s="72" t="s">
        <v>152</v>
      </c>
    </row>
    <row r="248">
      <c r="A248" s="70">
        <v>247.0</v>
      </c>
      <c r="B248" s="71" t="s">
        <v>535</v>
      </c>
      <c r="C248" s="72" t="s">
        <v>152</v>
      </c>
    </row>
    <row r="249">
      <c r="A249" s="70">
        <v>248.0</v>
      </c>
      <c r="B249" s="71" t="s">
        <v>255</v>
      </c>
      <c r="C249" s="72" t="s">
        <v>152</v>
      </c>
    </row>
    <row r="250">
      <c r="A250" s="70">
        <v>249.0</v>
      </c>
      <c r="B250" s="71" t="s">
        <v>536</v>
      </c>
      <c r="C250" s="72" t="s">
        <v>152</v>
      </c>
    </row>
    <row r="251">
      <c r="A251" s="70">
        <v>250.0</v>
      </c>
      <c r="B251" s="71" t="s">
        <v>537</v>
      </c>
      <c r="C251" s="72" t="s">
        <v>152</v>
      </c>
    </row>
    <row r="252">
      <c r="A252" s="70">
        <v>251.0</v>
      </c>
      <c r="B252" s="71" t="s">
        <v>260</v>
      </c>
      <c r="C252" s="72" t="s">
        <v>152</v>
      </c>
    </row>
    <row r="253">
      <c r="A253" s="70">
        <v>252.0</v>
      </c>
      <c r="B253" s="71" t="s">
        <v>538</v>
      </c>
      <c r="C253" s="72" t="s">
        <v>152</v>
      </c>
    </row>
    <row r="254">
      <c r="A254" s="70">
        <v>253.0</v>
      </c>
      <c r="B254" s="71" t="s">
        <v>539</v>
      </c>
      <c r="C254" s="72" t="s">
        <v>152</v>
      </c>
    </row>
    <row r="255">
      <c r="A255" s="70">
        <v>254.0</v>
      </c>
      <c r="B255" s="71" t="s">
        <v>330</v>
      </c>
      <c r="C255" s="72" t="s">
        <v>152</v>
      </c>
    </row>
    <row r="256">
      <c r="A256" s="70">
        <v>255.0</v>
      </c>
      <c r="B256" s="71" t="s">
        <v>540</v>
      </c>
      <c r="C256" s="72" t="s">
        <v>152</v>
      </c>
    </row>
    <row r="257">
      <c r="A257" s="70">
        <v>256.0</v>
      </c>
      <c r="B257" s="71" t="s">
        <v>332</v>
      </c>
      <c r="C257" s="72" t="s">
        <v>152</v>
      </c>
    </row>
    <row r="258">
      <c r="A258" s="70">
        <v>257.0</v>
      </c>
      <c r="B258" s="71" t="s">
        <v>425</v>
      </c>
      <c r="C258" s="72" t="s">
        <v>152</v>
      </c>
    </row>
    <row r="259">
      <c r="A259" s="70">
        <v>258.0</v>
      </c>
      <c r="B259" s="71" t="s">
        <v>252</v>
      </c>
      <c r="C259" s="72" t="s">
        <v>152</v>
      </c>
    </row>
    <row r="260">
      <c r="A260" s="70">
        <v>259.0</v>
      </c>
      <c r="B260" s="71" t="s">
        <v>541</v>
      </c>
      <c r="C260" s="72" t="s">
        <v>152</v>
      </c>
    </row>
    <row r="261">
      <c r="A261" s="70">
        <v>260.0</v>
      </c>
      <c r="B261" s="71" t="s">
        <v>197</v>
      </c>
      <c r="C261" s="72" t="s">
        <v>152</v>
      </c>
    </row>
    <row r="262">
      <c r="A262" s="70">
        <v>261.0</v>
      </c>
      <c r="B262" s="71" t="s">
        <v>542</v>
      </c>
      <c r="C262" s="72" t="s">
        <v>152</v>
      </c>
    </row>
    <row r="263">
      <c r="A263" s="70">
        <v>262.0</v>
      </c>
      <c r="B263" s="71" t="s">
        <v>374</v>
      </c>
      <c r="C263" s="72" t="s">
        <v>152</v>
      </c>
    </row>
    <row r="264">
      <c r="A264" s="70">
        <v>263.0</v>
      </c>
      <c r="B264" s="71" t="s">
        <v>543</v>
      </c>
      <c r="C264" s="72" t="s">
        <v>152</v>
      </c>
    </row>
    <row r="265">
      <c r="A265" s="70">
        <v>264.0</v>
      </c>
      <c r="B265" s="71" t="s">
        <v>247</v>
      </c>
      <c r="C265" s="72" t="s">
        <v>152</v>
      </c>
    </row>
    <row r="266">
      <c r="A266" s="70">
        <v>265.0</v>
      </c>
      <c r="B266" s="71" t="s">
        <v>544</v>
      </c>
      <c r="C266" s="72" t="s">
        <v>152</v>
      </c>
    </row>
    <row r="267">
      <c r="A267" s="70">
        <v>266.0</v>
      </c>
      <c r="B267" s="71" t="s">
        <v>503</v>
      </c>
      <c r="C267" s="72" t="s">
        <v>152</v>
      </c>
    </row>
    <row r="268">
      <c r="A268" s="70">
        <v>267.0</v>
      </c>
      <c r="B268" s="71" t="s">
        <v>545</v>
      </c>
      <c r="C268" s="72" t="s">
        <v>152</v>
      </c>
    </row>
    <row r="269">
      <c r="A269" s="70">
        <v>268.0</v>
      </c>
      <c r="B269" s="71" t="s">
        <v>546</v>
      </c>
      <c r="C269" s="72" t="s">
        <v>152</v>
      </c>
    </row>
    <row r="270">
      <c r="A270" s="70">
        <v>269.0</v>
      </c>
      <c r="B270" s="71" t="s">
        <v>491</v>
      </c>
      <c r="C270" s="72" t="s">
        <v>152</v>
      </c>
    </row>
    <row r="271">
      <c r="A271" s="70">
        <v>270.0</v>
      </c>
      <c r="B271" s="71" t="s">
        <v>506</v>
      </c>
      <c r="C271" s="72" t="s">
        <v>152</v>
      </c>
    </row>
    <row r="272">
      <c r="A272" s="70">
        <v>271.0</v>
      </c>
      <c r="B272" s="71" t="s">
        <v>547</v>
      </c>
      <c r="C272" s="72" t="s">
        <v>152</v>
      </c>
    </row>
    <row r="273">
      <c r="A273" s="70">
        <v>272.0</v>
      </c>
      <c r="B273" s="71" t="s">
        <v>383</v>
      </c>
      <c r="C273" s="72" t="s">
        <v>152</v>
      </c>
    </row>
    <row r="274">
      <c r="A274" s="70">
        <v>273.0</v>
      </c>
      <c r="B274" s="71" t="s">
        <v>331</v>
      </c>
      <c r="C274" s="72" t="s">
        <v>152</v>
      </c>
    </row>
    <row r="275">
      <c r="A275" s="70">
        <v>274.0</v>
      </c>
      <c r="B275" s="71" t="s">
        <v>244</v>
      </c>
      <c r="C275" s="72" t="s">
        <v>152</v>
      </c>
    </row>
    <row r="276">
      <c r="A276" s="70">
        <v>275.0</v>
      </c>
      <c r="B276" s="71" t="s">
        <v>548</v>
      </c>
      <c r="C276" s="72" t="s">
        <v>99</v>
      </c>
    </row>
    <row r="277">
      <c r="A277" s="70">
        <v>276.0</v>
      </c>
      <c r="B277" s="71" t="s">
        <v>549</v>
      </c>
      <c r="C277" s="72" t="s">
        <v>99</v>
      </c>
    </row>
    <row r="278">
      <c r="A278" s="70">
        <v>277.0</v>
      </c>
      <c r="B278" s="71" t="s">
        <v>417</v>
      </c>
      <c r="C278" s="72" t="s">
        <v>99</v>
      </c>
    </row>
    <row r="279">
      <c r="A279" s="70">
        <v>278.0</v>
      </c>
      <c r="B279" s="71" t="s">
        <v>550</v>
      </c>
      <c r="C279" s="72" t="s">
        <v>99</v>
      </c>
    </row>
    <row r="280">
      <c r="A280" s="70">
        <v>279.0</v>
      </c>
      <c r="B280" s="71" t="s">
        <v>551</v>
      </c>
      <c r="C280" s="72" t="s">
        <v>99</v>
      </c>
    </row>
    <row r="281">
      <c r="A281" s="70">
        <v>280.0</v>
      </c>
      <c r="B281" s="71" t="s">
        <v>161</v>
      </c>
      <c r="C281" s="72" t="s">
        <v>99</v>
      </c>
    </row>
    <row r="282">
      <c r="A282" s="70">
        <v>281.0</v>
      </c>
      <c r="B282" s="71" t="s">
        <v>479</v>
      </c>
      <c r="C282" s="72" t="s">
        <v>99</v>
      </c>
    </row>
    <row r="283">
      <c r="A283" s="70">
        <v>282.0</v>
      </c>
      <c r="B283" s="71" t="s">
        <v>552</v>
      </c>
      <c r="C283" s="72" t="s">
        <v>99</v>
      </c>
    </row>
    <row r="284">
      <c r="A284" s="70">
        <v>283.0</v>
      </c>
      <c r="B284" s="71" t="s">
        <v>553</v>
      </c>
      <c r="C284" s="72" t="s">
        <v>99</v>
      </c>
    </row>
    <row r="285">
      <c r="A285" s="70">
        <v>284.0</v>
      </c>
      <c r="B285" s="71" t="s">
        <v>300</v>
      </c>
      <c r="C285" s="72" t="s">
        <v>99</v>
      </c>
    </row>
    <row r="286">
      <c r="A286" s="70">
        <v>285.0</v>
      </c>
      <c r="B286" s="71" t="s">
        <v>312</v>
      </c>
      <c r="C286" s="72" t="s">
        <v>99</v>
      </c>
    </row>
    <row r="287">
      <c r="A287" s="70">
        <v>286.0</v>
      </c>
      <c r="B287" s="71" t="s">
        <v>174</v>
      </c>
      <c r="C287" s="72" t="s">
        <v>99</v>
      </c>
    </row>
    <row r="288">
      <c r="A288" s="70">
        <v>287.0</v>
      </c>
      <c r="B288" s="71" t="s">
        <v>554</v>
      </c>
      <c r="C288" s="72" t="s">
        <v>99</v>
      </c>
    </row>
    <row r="289">
      <c r="A289" s="70">
        <v>288.0</v>
      </c>
      <c r="B289" s="71" t="s">
        <v>213</v>
      </c>
      <c r="C289" s="72" t="s">
        <v>99</v>
      </c>
    </row>
    <row r="290">
      <c r="A290" s="70">
        <v>289.0</v>
      </c>
      <c r="B290" s="71" t="s">
        <v>242</v>
      </c>
      <c r="C290" s="72" t="s">
        <v>99</v>
      </c>
    </row>
    <row r="291">
      <c r="A291" s="70">
        <v>290.0</v>
      </c>
      <c r="B291" s="71" t="s">
        <v>343</v>
      </c>
      <c r="C291" s="72" t="s">
        <v>99</v>
      </c>
    </row>
    <row r="292">
      <c r="A292" s="70">
        <v>291.0</v>
      </c>
      <c r="B292" s="71" t="s">
        <v>555</v>
      </c>
      <c r="C292" s="72" t="s">
        <v>99</v>
      </c>
    </row>
    <row r="293">
      <c r="A293" s="70">
        <v>292.0</v>
      </c>
      <c r="B293" s="71" t="s">
        <v>55</v>
      </c>
      <c r="C293" s="72" t="s">
        <v>99</v>
      </c>
    </row>
    <row r="294">
      <c r="A294" s="70">
        <v>293.0</v>
      </c>
      <c r="B294" s="71" t="s">
        <v>392</v>
      </c>
      <c r="C294" s="72" t="s">
        <v>99</v>
      </c>
    </row>
    <row r="295">
      <c r="A295" s="70">
        <v>294.0</v>
      </c>
      <c r="B295" s="71" t="s">
        <v>180</v>
      </c>
      <c r="C295" s="72" t="s">
        <v>99</v>
      </c>
    </row>
    <row r="296">
      <c r="A296" s="70">
        <v>295.0</v>
      </c>
      <c r="B296" s="71" t="s">
        <v>403</v>
      </c>
      <c r="C296" s="72" t="s">
        <v>99</v>
      </c>
    </row>
    <row r="297">
      <c r="A297" s="70">
        <v>296.0</v>
      </c>
      <c r="B297" s="71" t="s">
        <v>372</v>
      </c>
      <c r="C297" s="72" t="s">
        <v>99</v>
      </c>
    </row>
    <row r="298">
      <c r="A298" s="70">
        <v>297.0</v>
      </c>
      <c r="B298" s="71" t="s">
        <v>387</v>
      </c>
      <c r="C298" s="72" t="s">
        <v>99</v>
      </c>
    </row>
    <row r="299">
      <c r="A299" s="70">
        <v>298.0</v>
      </c>
      <c r="B299" s="71" t="s">
        <v>155</v>
      </c>
      <c r="C299" s="72" t="s">
        <v>99</v>
      </c>
    </row>
    <row r="300">
      <c r="A300" s="70">
        <v>299.0</v>
      </c>
      <c r="B300" s="71" t="s">
        <v>556</v>
      </c>
      <c r="C300" s="72" t="s">
        <v>99</v>
      </c>
    </row>
    <row r="301">
      <c r="A301" s="70">
        <v>300.0</v>
      </c>
      <c r="B301" s="71" t="s">
        <v>422</v>
      </c>
      <c r="C301" s="72" t="s">
        <v>99</v>
      </c>
    </row>
    <row r="302">
      <c r="A302" s="70">
        <v>301.0</v>
      </c>
      <c r="B302" s="71" t="s">
        <v>350</v>
      </c>
      <c r="C302" s="72" t="s">
        <v>99</v>
      </c>
    </row>
    <row r="303">
      <c r="A303" s="70">
        <v>302.0</v>
      </c>
      <c r="B303" s="71" t="s">
        <v>153</v>
      </c>
      <c r="C303" s="72" t="s">
        <v>99</v>
      </c>
    </row>
    <row r="304">
      <c r="A304" s="70">
        <v>303.0</v>
      </c>
      <c r="B304" s="71" t="s">
        <v>256</v>
      </c>
      <c r="C304" s="72" t="s">
        <v>99</v>
      </c>
    </row>
    <row r="305">
      <c r="A305" s="70">
        <v>304.0</v>
      </c>
      <c r="B305" s="71" t="s">
        <v>557</v>
      </c>
      <c r="C305" s="72" t="s">
        <v>99</v>
      </c>
    </row>
    <row r="306">
      <c r="A306" s="70">
        <v>305.0</v>
      </c>
      <c r="B306" s="71" t="s">
        <v>262</v>
      </c>
      <c r="C306" s="72" t="s">
        <v>99</v>
      </c>
    </row>
    <row r="307">
      <c r="A307" s="70">
        <v>306.0</v>
      </c>
      <c r="B307" s="71" t="s">
        <v>377</v>
      </c>
      <c r="C307" s="72" t="s">
        <v>99</v>
      </c>
    </row>
    <row r="308">
      <c r="A308" s="70">
        <v>307.0</v>
      </c>
      <c r="B308" s="71" t="s">
        <v>220</v>
      </c>
      <c r="C308" s="72" t="s">
        <v>99</v>
      </c>
    </row>
    <row r="309">
      <c r="A309" s="70">
        <v>308.0</v>
      </c>
      <c r="B309" s="71" t="s">
        <v>454</v>
      </c>
      <c r="C309" s="72" t="s">
        <v>99</v>
      </c>
    </row>
    <row r="310">
      <c r="A310" s="70">
        <v>309.0</v>
      </c>
      <c r="B310" s="71" t="s">
        <v>558</v>
      </c>
      <c r="C310" s="72" t="s">
        <v>99</v>
      </c>
    </row>
    <row r="311">
      <c r="A311" s="70">
        <v>310.0</v>
      </c>
      <c r="B311" s="71" t="s">
        <v>481</v>
      </c>
      <c r="C311" s="72" t="s">
        <v>99</v>
      </c>
    </row>
    <row r="312">
      <c r="A312" s="70">
        <v>311.0</v>
      </c>
      <c r="B312" s="71" t="s">
        <v>559</v>
      </c>
      <c r="C312" s="72" t="s">
        <v>99</v>
      </c>
    </row>
    <row r="313">
      <c r="A313" s="70">
        <v>312.0</v>
      </c>
      <c r="B313" s="71" t="s">
        <v>560</v>
      </c>
      <c r="C313" s="72" t="s">
        <v>99</v>
      </c>
    </row>
    <row r="314">
      <c r="A314" s="70">
        <v>313.0</v>
      </c>
      <c r="B314" s="71" t="s">
        <v>561</v>
      </c>
      <c r="C314" s="72" t="s">
        <v>99</v>
      </c>
    </row>
    <row r="315">
      <c r="A315" s="70">
        <v>314.0</v>
      </c>
      <c r="B315" s="71" t="s">
        <v>478</v>
      </c>
      <c r="C315" s="72" t="s">
        <v>99</v>
      </c>
    </row>
    <row r="316">
      <c r="A316" s="70">
        <v>315.0</v>
      </c>
      <c r="B316" s="71" t="s">
        <v>562</v>
      </c>
      <c r="C316" s="72" t="s">
        <v>99</v>
      </c>
    </row>
    <row r="317">
      <c r="A317" s="70">
        <v>316.0</v>
      </c>
      <c r="B317" s="71" t="s">
        <v>563</v>
      </c>
      <c r="C317" s="72" t="s">
        <v>99</v>
      </c>
    </row>
    <row r="318">
      <c r="A318" s="70">
        <v>317.0</v>
      </c>
      <c r="B318" s="71" t="s">
        <v>564</v>
      </c>
      <c r="C318" s="72" t="s">
        <v>99</v>
      </c>
    </row>
    <row r="319">
      <c r="A319" s="70">
        <v>318.0</v>
      </c>
      <c r="B319" s="71" t="s">
        <v>353</v>
      </c>
      <c r="C319" s="72" t="s">
        <v>99</v>
      </c>
    </row>
    <row r="320">
      <c r="A320" s="70">
        <v>319.0</v>
      </c>
      <c r="B320" s="71" t="s">
        <v>565</v>
      </c>
      <c r="C320" s="72" t="s">
        <v>99</v>
      </c>
    </row>
    <row r="321">
      <c r="A321" s="70">
        <v>320.0</v>
      </c>
      <c r="B321" s="71" t="s">
        <v>566</v>
      </c>
      <c r="C321" s="72" t="s">
        <v>99</v>
      </c>
    </row>
    <row r="322">
      <c r="A322" s="70">
        <v>321.0</v>
      </c>
      <c r="B322" s="71" t="s">
        <v>249</v>
      </c>
      <c r="C322" s="72" t="s">
        <v>99</v>
      </c>
    </row>
    <row r="323">
      <c r="A323" s="70">
        <v>322.0</v>
      </c>
      <c r="B323" s="71" t="s">
        <v>567</v>
      </c>
      <c r="C323" s="72" t="s">
        <v>99</v>
      </c>
    </row>
    <row r="324">
      <c r="A324" s="70">
        <v>323.0</v>
      </c>
      <c r="B324" s="71" t="s">
        <v>345</v>
      </c>
      <c r="C324" s="72" t="s">
        <v>99</v>
      </c>
    </row>
    <row r="325">
      <c r="A325" s="70">
        <v>324.0</v>
      </c>
      <c r="B325" s="71" t="s">
        <v>568</v>
      </c>
      <c r="C325" s="72" t="s">
        <v>99</v>
      </c>
    </row>
    <row r="326">
      <c r="A326" s="70">
        <v>325.0</v>
      </c>
      <c r="B326" s="71" t="s">
        <v>569</v>
      </c>
      <c r="C326" s="72" t="s">
        <v>99</v>
      </c>
    </row>
    <row r="327">
      <c r="A327" s="70">
        <v>326.0</v>
      </c>
      <c r="B327" s="71" t="s">
        <v>499</v>
      </c>
      <c r="C327" s="72" t="s">
        <v>99</v>
      </c>
    </row>
    <row r="328">
      <c r="A328" s="70">
        <v>327.0</v>
      </c>
      <c r="B328" s="71" t="s">
        <v>279</v>
      </c>
      <c r="C328" s="72" t="s">
        <v>99</v>
      </c>
    </row>
    <row r="329">
      <c r="A329" s="81"/>
      <c r="B329" s="81"/>
      <c r="C329" s="81"/>
    </row>
  </sheetData>
  <hyperlinks>
    <hyperlink r:id="rId1" ref="A1"/>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38"/>
    <col customWidth="1" min="3" max="3" width="14.75"/>
  </cols>
  <sheetData>
    <row r="1">
      <c r="A1" s="73" t="s">
        <v>362</v>
      </c>
      <c r="B1" s="74" t="s">
        <v>367</v>
      </c>
      <c r="C1" s="74" t="s">
        <v>393</v>
      </c>
      <c r="D1" s="74" t="s">
        <v>11</v>
      </c>
    </row>
    <row r="2">
      <c r="A2" s="75">
        <v>1.0</v>
      </c>
      <c r="B2" s="76" t="s">
        <v>29</v>
      </c>
      <c r="C2" s="75">
        <v>7.0</v>
      </c>
      <c r="D2" s="76" t="s">
        <v>43</v>
      </c>
      <c r="E2" s="14" t="s">
        <v>29</v>
      </c>
    </row>
    <row r="3">
      <c r="A3" s="75">
        <v>2.0</v>
      </c>
      <c r="B3" s="76" t="s">
        <v>55</v>
      </c>
      <c r="C3" s="75">
        <v>7.0</v>
      </c>
      <c r="D3" s="76" t="s">
        <v>99</v>
      </c>
      <c r="E3" s="14" t="s">
        <v>55</v>
      </c>
    </row>
    <row r="4">
      <c r="A4" s="75">
        <v>3.0</v>
      </c>
      <c r="B4" s="76" t="s">
        <v>82</v>
      </c>
      <c r="C4" s="75">
        <v>7.0</v>
      </c>
      <c r="D4" s="76" t="s">
        <v>108</v>
      </c>
      <c r="E4" s="14" t="s">
        <v>82</v>
      </c>
    </row>
    <row r="5">
      <c r="A5" s="75">
        <v>4.0</v>
      </c>
      <c r="B5" s="76" t="s">
        <v>88</v>
      </c>
      <c r="C5" s="75">
        <v>7.0</v>
      </c>
      <c r="D5" s="76" t="s">
        <v>134</v>
      </c>
      <c r="E5" s="14" t="s">
        <v>88</v>
      </c>
    </row>
    <row r="6">
      <c r="A6" s="75">
        <v>5.0</v>
      </c>
      <c r="B6" s="76" t="s">
        <v>142</v>
      </c>
      <c r="C6" s="75">
        <v>7.0</v>
      </c>
      <c r="D6" s="76" t="s">
        <v>147</v>
      </c>
      <c r="E6" s="14" t="s">
        <v>142</v>
      </c>
    </row>
    <row r="7">
      <c r="A7" s="75">
        <v>6.0</v>
      </c>
      <c r="B7" s="76" t="s">
        <v>149</v>
      </c>
      <c r="C7" s="75">
        <v>7.0</v>
      </c>
      <c r="D7" s="76" t="s">
        <v>43</v>
      </c>
      <c r="E7" s="14" t="s">
        <v>149</v>
      </c>
    </row>
    <row r="8">
      <c r="A8" s="75">
        <v>7.0</v>
      </c>
      <c r="B8" s="76" t="s">
        <v>150</v>
      </c>
      <c r="C8" s="75">
        <v>7.0</v>
      </c>
      <c r="D8" s="76" t="s">
        <v>152</v>
      </c>
      <c r="E8" s="14" t="s">
        <v>150</v>
      </c>
    </row>
    <row r="9">
      <c r="A9" s="75">
        <v>8.0</v>
      </c>
      <c r="B9" s="76" t="s">
        <v>163</v>
      </c>
      <c r="C9" s="75">
        <v>7.0</v>
      </c>
      <c r="D9" s="76" t="s">
        <v>43</v>
      </c>
      <c r="E9" s="14" t="s">
        <v>163</v>
      </c>
    </row>
    <row r="10">
      <c r="A10" s="75">
        <v>9.0</v>
      </c>
      <c r="B10" s="76" t="s">
        <v>193</v>
      </c>
      <c r="C10" s="75">
        <v>7.0</v>
      </c>
      <c r="D10" s="76" t="s">
        <v>134</v>
      </c>
      <c r="E10" s="14" t="s">
        <v>193</v>
      </c>
    </row>
    <row r="11">
      <c r="A11" s="75">
        <v>10.0</v>
      </c>
      <c r="B11" s="76" t="s">
        <v>209</v>
      </c>
      <c r="C11" s="75">
        <v>7.0</v>
      </c>
      <c r="D11" s="76" t="s">
        <v>43</v>
      </c>
      <c r="E11" s="14" t="s">
        <v>209</v>
      </c>
    </row>
    <row r="12">
      <c r="A12" s="75">
        <v>11.0</v>
      </c>
      <c r="B12" s="76" t="s">
        <v>218</v>
      </c>
      <c r="C12" s="75">
        <v>7.0</v>
      </c>
      <c r="D12" s="76" t="s">
        <v>152</v>
      </c>
      <c r="E12" s="14" t="s">
        <v>218</v>
      </c>
    </row>
    <row r="13">
      <c r="A13" s="75">
        <v>12.0</v>
      </c>
      <c r="B13" s="76" t="s">
        <v>85</v>
      </c>
      <c r="C13" s="75">
        <v>7.0</v>
      </c>
      <c r="D13" s="76" t="s">
        <v>134</v>
      </c>
      <c r="E13" s="14" t="s">
        <v>85</v>
      </c>
    </row>
    <row r="14">
      <c r="A14" s="75">
        <v>13.0</v>
      </c>
      <c r="B14" s="76" t="s">
        <v>230</v>
      </c>
      <c r="C14" s="75">
        <v>7.0</v>
      </c>
      <c r="D14" s="76" t="s">
        <v>43</v>
      </c>
      <c r="E14" s="14" t="s">
        <v>230</v>
      </c>
    </row>
    <row r="15">
      <c r="A15" s="75">
        <v>14.0</v>
      </c>
      <c r="B15" s="76" t="s">
        <v>236</v>
      </c>
      <c r="C15" s="75">
        <v>7.0</v>
      </c>
      <c r="D15" s="76" t="s">
        <v>152</v>
      </c>
      <c r="E15" s="14" t="s">
        <v>236</v>
      </c>
    </row>
    <row r="16">
      <c r="A16" s="75">
        <v>15.0</v>
      </c>
      <c r="B16" s="76" t="s">
        <v>240</v>
      </c>
      <c r="C16" s="75">
        <v>7.0</v>
      </c>
      <c r="D16" s="76" t="s">
        <v>43</v>
      </c>
      <c r="E16" s="14" t="s">
        <v>240</v>
      </c>
    </row>
    <row r="17">
      <c r="A17" s="75">
        <v>16.0</v>
      </c>
      <c r="B17" s="76" t="s">
        <v>241</v>
      </c>
      <c r="C17" s="75">
        <v>7.0</v>
      </c>
      <c r="D17" s="76" t="s">
        <v>147</v>
      </c>
      <c r="E17" s="14" t="s">
        <v>241</v>
      </c>
    </row>
    <row r="18">
      <c r="A18" s="75">
        <v>17.0</v>
      </c>
      <c r="B18" s="76" t="s">
        <v>242</v>
      </c>
      <c r="C18" s="75">
        <v>7.0</v>
      </c>
      <c r="D18" s="76" t="s">
        <v>99</v>
      </c>
      <c r="E18" s="14" t="s">
        <v>242</v>
      </c>
    </row>
    <row r="19">
      <c r="A19" s="75">
        <v>18.0</v>
      </c>
      <c r="B19" s="76" t="s">
        <v>244</v>
      </c>
      <c r="C19" s="75">
        <v>7.0</v>
      </c>
      <c r="D19" s="76" t="s">
        <v>152</v>
      </c>
      <c r="E19" s="14" t="s">
        <v>244</v>
      </c>
    </row>
    <row r="20">
      <c r="A20" s="75">
        <v>19.0</v>
      </c>
      <c r="B20" s="76" t="s">
        <v>246</v>
      </c>
      <c r="C20" s="75">
        <v>7.0</v>
      </c>
      <c r="D20" s="76" t="s">
        <v>43</v>
      </c>
      <c r="E20" s="14" t="s">
        <v>246</v>
      </c>
    </row>
    <row r="21">
      <c r="A21" s="75">
        <v>20.0</v>
      </c>
      <c r="B21" s="76" t="s">
        <v>247</v>
      </c>
      <c r="C21" s="75">
        <v>7.0</v>
      </c>
      <c r="D21" s="76" t="s">
        <v>152</v>
      </c>
      <c r="E21" s="14" t="s">
        <v>247</v>
      </c>
    </row>
    <row r="22">
      <c r="A22" s="75">
        <v>21.0</v>
      </c>
      <c r="B22" s="76" t="s">
        <v>249</v>
      </c>
      <c r="C22" s="75">
        <v>7.0</v>
      </c>
      <c r="D22" s="76" t="s">
        <v>99</v>
      </c>
      <c r="E22" s="14" t="s">
        <v>249</v>
      </c>
    </row>
    <row r="23">
      <c r="A23" s="75">
        <v>22.0</v>
      </c>
      <c r="B23" s="76" t="s">
        <v>252</v>
      </c>
      <c r="C23" s="75">
        <v>7.0</v>
      </c>
      <c r="D23" s="76" t="s">
        <v>152</v>
      </c>
      <c r="E23" s="14" t="s">
        <v>252</v>
      </c>
    </row>
    <row r="24">
      <c r="A24" s="75">
        <v>23.0</v>
      </c>
      <c r="B24" s="76" t="s">
        <v>213</v>
      </c>
      <c r="C24" s="75">
        <v>7.0</v>
      </c>
      <c r="D24" s="76" t="s">
        <v>99</v>
      </c>
      <c r="E24" s="14" t="s">
        <v>213</v>
      </c>
    </row>
    <row r="25">
      <c r="A25" s="75">
        <v>24.0</v>
      </c>
      <c r="B25" s="76" t="s">
        <v>256</v>
      </c>
      <c r="C25" s="75">
        <v>7.0</v>
      </c>
      <c r="D25" s="76" t="s">
        <v>99</v>
      </c>
      <c r="E25" s="14" t="s">
        <v>256</v>
      </c>
    </row>
    <row r="26">
      <c r="A26" s="75">
        <v>25.0</v>
      </c>
      <c r="B26" s="76" t="s">
        <v>257</v>
      </c>
      <c r="C26" s="75">
        <v>7.0</v>
      </c>
      <c r="D26" s="76" t="s">
        <v>147</v>
      </c>
      <c r="E26" s="14" t="s">
        <v>257</v>
      </c>
    </row>
    <row r="27">
      <c r="A27" s="75">
        <v>26.0</v>
      </c>
      <c r="B27" s="76" t="s">
        <v>260</v>
      </c>
      <c r="C27" s="75">
        <v>7.0</v>
      </c>
      <c r="D27" s="76" t="s">
        <v>152</v>
      </c>
      <c r="E27" s="14" t="s">
        <v>260</v>
      </c>
    </row>
    <row r="28">
      <c r="A28" s="75">
        <v>27.0</v>
      </c>
      <c r="B28" s="76" t="s">
        <v>262</v>
      </c>
      <c r="C28" s="75">
        <v>7.0</v>
      </c>
      <c r="D28" s="76" t="s">
        <v>99</v>
      </c>
      <c r="E28" s="14" t="s">
        <v>262</v>
      </c>
    </row>
    <row r="29">
      <c r="A29" s="75">
        <v>28.0</v>
      </c>
      <c r="B29" s="76" t="s">
        <v>265</v>
      </c>
      <c r="C29" s="75">
        <v>7.0</v>
      </c>
      <c r="D29" s="76" t="s">
        <v>134</v>
      </c>
      <c r="E29" s="14" t="s">
        <v>265</v>
      </c>
    </row>
    <row r="30">
      <c r="A30" s="75">
        <v>29.0</v>
      </c>
      <c r="B30" s="76" t="s">
        <v>267</v>
      </c>
      <c r="C30" s="75">
        <v>7.0</v>
      </c>
      <c r="D30" s="76" t="s">
        <v>147</v>
      </c>
      <c r="E30" s="14" t="s">
        <v>267</v>
      </c>
    </row>
    <row r="31">
      <c r="A31" s="75">
        <v>30.0</v>
      </c>
      <c r="B31" s="76" t="s">
        <v>270</v>
      </c>
      <c r="C31" s="75">
        <v>7.0</v>
      </c>
      <c r="D31" s="76" t="s">
        <v>43</v>
      </c>
      <c r="E31" s="14" t="s">
        <v>270</v>
      </c>
    </row>
    <row r="32">
      <c r="A32" s="75">
        <v>31.0</v>
      </c>
      <c r="B32" s="76" t="s">
        <v>70</v>
      </c>
      <c r="C32" s="75">
        <v>7.0</v>
      </c>
      <c r="D32" s="76" t="s">
        <v>147</v>
      </c>
      <c r="E32" s="77" t="s">
        <v>70</v>
      </c>
    </row>
    <row r="33">
      <c r="A33" s="75">
        <v>32.0</v>
      </c>
      <c r="B33" s="76" t="s">
        <v>281</v>
      </c>
      <c r="C33" s="75">
        <v>7.0</v>
      </c>
      <c r="D33" s="76" t="s">
        <v>108</v>
      </c>
      <c r="E33" s="77" t="s">
        <v>281</v>
      </c>
    </row>
    <row r="34">
      <c r="A34" s="75">
        <v>33.0</v>
      </c>
      <c r="B34" s="76" t="s">
        <v>45</v>
      </c>
      <c r="C34" s="75">
        <v>6.0</v>
      </c>
      <c r="D34" s="76" t="s">
        <v>147</v>
      </c>
      <c r="E34" s="14" t="s">
        <v>45</v>
      </c>
    </row>
    <row r="35">
      <c r="A35" s="75">
        <v>34.0</v>
      </c>
      <c r="B35" s="76" t="s">
        <v>79</v>
      </c>
      <c r="C35" s="75">
        <v>6.0</v>
      </c>
      <c r="D35" s="76" t="s">
        <v>108</v>
      </c>
      <c r="E35" s="14" t="s">
        <v>79</v>
      </c>
    </row>
    <row r="36">
      <c r="A36" s="75">
        <v>35.0</v>
      </c>
      <c r="B36" s="76" t="s">
        <v>286</v>
      </c>
      <c r="C36" s="75">
        <v>6.0</v>
      </c>
      <c r="D36" s="76" t="s">
        <v>43</v>
      </c>
      <c r="E36" s="14" t="s">
        <v>286</v>
      </c>
    </row>
    <row r="37">
      <c r="A37" s="75">
        <v>36.0</v>
      </c>
      <c r="B37" s="76" t="s">
        <v>287</v>
      </c>
      <c r="C37" s="75">
        <v>6.0</v>
      </c>
      <c r="D37" s="76" t="s">
        <v>43</v>
      </c>
      <c r="E37" s="14" t="s">
        <v>287</v>
      </c>
    </row>
    <row r="38">
      <c r="A38" s="75">
        <v>37.0</v>
      </c>
      <c r="B38" s="76" t="s">
        <v>85</v>
      </c>
      <c r="C38" s="75">
        <v>6.0</v>
      </c>
      <c r="D38" s="76" t="s">
        <v>134</v>
      </c>
      <c r="E38" s="14" t="s">
        <v>85</v>
      </c>
    </row>
    <row r="39">
      <c r="A39" s="75">
        <v>38.0</v>
      </c>
      <c r="B39" s="76" t="s">
        <v>267</v>
      </c>
      <c r="C39" s="75">
        <v>6.0</v>
      </c>
      <c r="D39" s="76" t="s">
        <v>147</v>
      </c>
      <c r="E39" s="14" t="s">
        <v>267</v>
      </c>
    </row>
    <row r="40">
      <c r="A40" s="75">
        <v>39.0</v>
      </c>
      <c r="B40" s="76" t="s">
        <v>153</v>
      </c>
      <c r="C40" s="75">
        <v>6.0</v>
      </c>
      <c r="D40" s="76" t="s">
        <v>99</v>
      </c>
      <c r="E40" s="14" t="s">
        <v>153</v>
      </c>
    </row>
    <row r="41">
      <c r="A41" s="75">
        <v>40.0</v>
      </c>
      <c r="B41" s="76" t="s">
        <v>293</v>
      </c>
      <c r="C41" s="75">
        <v>6.0</v>
      </c>
      <c r="D41" s="76" t="s">
        <v>43</v>
      </c>
      <c r="E41" s="14" t="s">
        <v>293</v>
      </c>
    </row>
    <row r="42">
      <c r="A42" s="75">
        <v>41.0</v>
      </c>
      <c r="B42" s="76" t="s">
        <v>81</v>
      </c>
      <c r="C42" s="75">
        <v>6.0</v>
      </c>
      <c r="D42" s="76" t="s">
        <v>108</v>
      </c>
      <c r="E42" s="14" t="s">
        <v>81</v>
      </c>
    </row>
    <row r="43">
      <c r="A43" s="75">
        <v>42.0</v>
      </c>
      <c r="B43" s="76" t="s">
        <v>296</v>
      </c>
      <c r="C43" s="75">
        <v>6.0</v>
      </c>
      <c r="D43" s="76" t="s">
        <v>134</v>
      </c>
      <c r="E43" s="14" t="s">
        <v>296</v>
      </c>
    </row>
    <row r="44">
      <c r="A44" s="75">
        <v>43.0</v>
      </c>
      <c r="B44" s="76" t="s">
        <v>299</v>
      </c>
      <c r="C44" s="75">
        <v>6.0</v>
      </c>
      <c r="D44" s="76" t="s">
        <v>43</v>
      </c>
      <c r="E44" s="14" t="s">
        <v>299</v>
      </c>
    </row>
    <row r="45">
      <c r="A45" s="75">
        <v>44.0</v>
      </c>
      <c r="B45" s="76" t="s">
        <v>301</v>
      </c>
      <c r="C45" s="75">
        <v>6.0</v>
      </c>
      <c r="D45" s="76" t="s">
        <v>108</v>
      </c>
      <c r="E45" s="14" t="s">
        <v>301</v>
      </c>
    </row>
    <row r="46">
      <c r="A46" s="75">
        <v>45.0</v>
      </c>
      <c r="B46" s="76" t="s">
        <v>88</v>
      </c>
      <c r="C46" s="75">
        <v>6.0</v>
      </c>
      <c r="D46" s="76" t="s">
        <v>134</v>
      </c>
      <c r="E46" s="14" t="s">
        <v>88</v>
      </c>
    </row>
    <row r="47">
      <c r="A47" s="75">
        <v>46.0</v>
      </c>
      <c r="B47" s="76" t="s">
        <v>150</v>
      </c>
      <c r="C47" s="75">
        <v>6.0</v>
      </c>
      <c r="D47" s="76" t="s">
        <v>152</v>
      </c>
      <c r="E47" s="14" t="s">
        <v>150</v>
      </c>
    </row>
    <row r="48">
      <c r="A48" s="75">
        <v>47.0</v>
      </c>
      <c r="B48" s="76" t="s">
        <v>305</v>
      </c>
      <c r="C48" s="75">
        <v>6.0</v>
      </c>
      <c r="D48" s="76" t="s">
        <v>147</v>
      </c>
      <c r="E48" s="14" t="s">
        <v>305</v>
      </c>
    </row>
    <row r="49">
      <c r="A49" s="75">
        <v>48.0</v>
      </c>
      <c r="B49" s="76" t="s">
        <v>71</v>
      </c>
      <c r="C49" s="75">
        <v>6.0</v>
      </c>
      <c r="D49" s="76" t="s">
        <v>152</v>
      </c>
      <c r="E49" s="14" t="s">
        <v>71</v>
      </c>
    </row>
    <row r="50">
      <c r="A50" s="75">
        <v>49.0</v>
      </c>
      <c r="B50" s="76" t="s">
        <v>309</v>
      </c>
      <c r="C50" s="75">
        <v>6.0</v>
      </c>
      <c r="D50" s="76" t="s">
        <v>99</v>
      </c>
      <c r="E50" s="14" t="s">
        <v>309</v>
      </c>
    </row>
    <row r="51">
      <c r="A51" s="75">
        <v>50.0</v>
      </c>
      <c r="B51" s="76" t="s">
        <v>312</v>
      </c>
      <c r="C51" s="75">
        <v>6.0</v>
      </c>
      <c r="D51" s="76" t="s">
        <v>99</v>
      </c>
      <c r="E51" s="14" t="s">
        <v>312</v>
      </c>
    </row>
    <row r="52">
      <c r="A52" s="75">
        <v>51.0</v>
      </c>
      <c r="B52" s="76" t="s">
        <v>313</v>
      </c>
      <c r="C52" s="75">
        <v>6.0</v>
      </c>
      <c r="D52" s="76" t="s">
        <v>152</v>
      </c>
      <c r="E52" s="14" t="s">
        <v>313</v>
      </c>
    </row>
    <row r="53">
      <c r="A53" s="75">
        <v>52.0</v>
      </c>
      <c r="B53" s="76" t="s">
        <v>314</v>
      </c>
      <c r="C53" s="75">
        <v>6.0</v>
      </c>
      <c r="D53" s="76" t="s">
        <v>108</v>
      </c>
      <c r="E53" s="14" t="s">
        <v>314</v>
      </c>
    </row>
    <row r="54">
      <c r="A54" s="75">
        <v>53.0</v>
      </c>
      <c r="B54" s="76" t="s">
        <v>315</v>
      </c>
      <c r="C54" s="75">
        <v>6.0</v>
      </c>
      <c r="D54" s="76" t="s">
        <v>147</v>
      </c>
      <c r="E54" s="14" t="s">
        <v>315</v>
      </c>
    </row>
    <row r="55">
      <c r="A55" s="75">
        <v>54.0</v>
      </c>
      <c r="B55" s="76" t="s">
        <v>316</v>
      </c>
      <c r="C55" s="75">
        <v>6.0</v>
      </c>
      <c r="D55" s="76" t="s">
        <v>152</v>
      </c>
      <c r="E55" s="14" t="s">
        <v>316</v>
      </c>
    </row>
    <row r="56">
      <c r="A56" s="75">
        <v>55.0</v>
      </c>
      <c r="B56" s="76" t="s">
        <v>317</v>
      </c>
      <c r="C56" s="75">
        <v>6.0</v>
      </c>
      <c r="D56" s="76" t="s">
        <v>147</v>
      </c>
      <c r="E56" s="14" t="s">
        <v>317</v>
      </c>
    </row>
    <row r="57">
      <c r="A57" s="75">
        <v>56.0</v>
      </c>
      <c r="B57" s="76" t="s">
        <v>29</v>
      </c>
      <c r="C57" s="75">
        <v>6.0</v>
      </c>
      <c r="D57" s="76" t="s">
        <v>43</v>
      </c>
      <c r="E57" s="14" t="s">
        <v>29</v>
      </c>
    </row>
    <row r="58">
      <c r="A58" s="75">
        <v>57.0</v>
      </c>
      <c r="B58" s="76" t="s">
        <v>318</v>
      </c>
      <c r="C58" s="75">
        <v>6.0</v>
      </c>
      <c r="D58" s="76" t="s">
        <v>152</v>
      </c>
      <c r="E58" s="14" t="s">
        <v>318</v>
      </c>
    </row>
    <row r="59">
      <c r="A59" s="75">
        <v>58.0</v>
      </c>
      <c r="B59" s="76" t="s">
        <v>94</v>
      </c>
      <c r="C59" s="75">
        <v>6.0</v>
      </c>
      <c r="D59" s="76" t="s">
        <v>43</v>
      </c>
      <c r="E59" s="14" t="s">
        <v>94</v>
      </c>
    </row>
    <row r="60">
      <c r="A60" s="75">
        <v>59.0</v>
      </c>
      <c r="B60" s="76" t="s">
        <v>275</v>
      </c>
      <c r="C60" s="75">
        <v>6.0</v>
      </c>
      <c r="D60" s="76" t="s">
        <v>147</v>
      </c>
      <c r="E60" s="14" t="s">
        <v>275</v>
      </c>
    </row>
    <row r="61">
      <c r="A61" s="75">
        <v>60.0</v>
      </c>
      <c r="B61" s="76" t="s">
        <v>319</v>
      </c>
      <c r="C61" s="75">
        <v>6.0</v>
      </c>
      <c r="D61" s="76" t="s">
        <v>108</v>
      </c>
      <c r="E61" s="14" t="s">
        <v>319</v>
      </c>
    </row>
    <row r="62">
      <c r="A62" s="75">
        <v>61.0</v>
      </c>
      <c r="B62" s="76" t="s">
        <v>320</v>
      </c>
      <c r="C62" s="75">
        <v>6.0</v>
      </c>
      <c r="D62" s="76" t="s">
        <v>147</v>
      </c>
      <c r="E62" s="14" t="s">
        <v>320</v>
      </c>
    </row>
    <row r="63">
      <c r="A63" s="75">
        <v>62.0</v>
      </c>
      <c r="B63" s="76" t="s">
        <v>321</v>
      </c>
      <c r="C63" s="75">
        <v>6.0</v>
      </c>
      <c r="D63" s="76" t="s">
        <v>152</v>
      </c>
      <c r="E63" s="14" t="s">
        <v>321</v>
      </c>
    </row>
    <row r="64">
      <c r="A64" s="75">
        <v>63.0</v>
      </c>
      <c r="B64" s="76" t="s">
        <v>322</v>
      </c>
      <c r="C64" s="75">
        <v>6.0</v>
      </c>
      <c r="D64" s="76" t="s">
        <v>108</v>
      </c>
      <c r="E64" s="14" t="s">
        <v>322</v>
      </c>
    </row>
    <row r="65">
      <c r="A65" s="75">
        <v>64.0</v>
      </c>
      <c r="B65" s="76" t="s">
        <v>325</v>
      </c>
      <c r="C65" s="75">
        <v>6.0</v>
      </c>
      <c r="D65" s="76" t="s">
        <v>147</v>
      </c>
      <c r="E65" s="14" t="s">
        <v>325</v>
      </c>
    </row>
    <row r="66">
      <c r="A66" s="75">
        <v>65.0</v>
      </c>
      <c r="B66" s="76" t="s">
        <v>280</v>
      </c>
      <c r="C66" s="75">
        <v>6.0</v>
      </c>
      <c r="D66" s="76" t="s">
        <v>147</v>
      </c>
      <c r="E66" s="14" t="s">
        <v>280</v>
      </c>
    </row>
    <row r="67">
      <c r="A67" s="75">
        <v>66.0</v>
      </c>
      <c r="B67" s="76" t="s">
        <v>327</v>
      </c>
      <c r="C67" s="75">
        <v>6.0</v>
      </c>
      <c r="D67" s="76" t="s">
        <v>134</v>
      </c>
      <c r="E67" s="14" t="s">
        <v>327</v>
      </c>
    </row>
    <row r="68">
      <c r="A68" s="75">
        <v>67.0</v>
      </c>
      <c r="B68" s="76" t="s">
        <v>213</v>
      </c>
      <c r="C68" s="75">
        <v>6.0</v>
      </c>
      <c r="D68" s="76" t="s">
        <v>99</v>
      </c>
      <c r="E68" s="14" t="s">
        <v>213</v>
      </c>
    </row>
    <row r="69">
      <c r="A69" s="75">
        <v>68.0</v>
      </c>
      <c r="B69" s="76" t="s">
        <v>328</v>
      </c>
      <c r="C69" s="75">
        <v>6.0</v>
      </c>
      <c r="D69" s="76" t="s">
        <v>152</v>
      </c>
      <c r="E69" s="14" t="s">
        <v>328</v>
      </c>
    </row>
    <row r="70">
      <c r="A70" s="75">
        <v>69.0</v>
      </c>
      <c r="B70" s="76" t="s">
        <v>329</v>
      </c>
      <c r="C70" s="75">
        <v>6.0</v>
      </c>
      <c r="D70" s="76" t="s">
        <v>43</v>
      </c>
      <c r="E70" s="14" t="s">
        <v>329</v>
      </c>
    </row>
    <row r="71">
      <c r="A71" s="75">
        <v>70.0</v>
      </c>
      <c r="B71" s="76" t="s">
        <v>230</v>
      </c>
      <c r="C71" s="75">
        <v>6.0</v>
      </c>
      <c r="D71" s="76" t="s">
        <v>43</v>
      </c>
      <c r="E71" s="14" t="s">
        <v>230</v>
      </c>
    </row>
    <row r="72">
      <c r="A72" s="75">
        <v>71.0</v>
      </c>
      <c r="B72" s="76" t="s">
        <v>330</v>
      </c>
      <c r="C72" s="75">
        <v>6.0</v>
      </c>
      <c r="D72" s="76" t="s">
        <v>152</v>
      </c>
      <c r="E72" s="14" t="s">
        <v>330</v>
      </c>
    </row>
    <row r="73">
      <c r="A73" s="75">
        <v>72.0</v>
      </c>
      <c r="B73" s="76" t="s">
        <v>331</v>
      </c>
      <c r="C73" s="75">
        <v>6.0</v>
      </c>
      <c r="D73" s="76" t="s">
        <v>152</v>
      </c>
      <c r="E73" s="14" t="s">
        <v>331</v>
      </c>
    </row>
    <row r="74">
      <c r="A74" s="75">
        <v>73.0</v>
      </c>
      <c r="B74" s="76" t="s">
        <v>332</v>
      </c>
      <c r="C74" s="75">
        <v>6.0</v>
      </c>
      <c r="D74" s="76" t="s">
        <v>152</v>
      </c>
      <c r="E74" s="14" t="s">
        <v>332</v>
      </c>
    </row>
    <row r="75">
      <c r="A75" s="75">
        <v>74.0</v>
      </c>
      <c r="B75" s="76" t="s">
        <v>333</v>
      </c>
      <c r="C75" s="75">
        <v>6.0</v>
      </c>
      <c r="D75" s="76" t="s">
        <v>108</v>
      </c>
      <c r="E75" s="14" t="s">
        <v>333</v>
      </c>
    </row>
    <row r="76">
      <c r="A76" s="75">
        <v>75.0</v>
      </c>
      <c r="B76" s="76" t="s">
        <v>138</v>
      </c>
      <c r="C76" s="75">
        <v>6.0</v>
      </c>
      <c r="D76" s="76" t="s">
        <v>108</v>
      </c>
      <c r="E76" s="14" t="s">
        <v>138</v>
      </c>
    </row>
    <row r="77">
      <c r="A77" s="75">
        <v>76.0</v>
      </c>
      <c r="B77" s="76" t="s">
        <v>279</v>
      </c>
      <c r="C77" s="75">
        <v>6.0</v>
      </c>
      <c r="D77" s="76" t="s">
        <v>99</v>
      </c>
      <c r="E77" s="14" t="s">
        <v>279</v>
      </c>
    </row>
    <row r="78">
      <c r="A78" s="75">
        <v>77.0</v>
      </c>
      <c r="B78" s="76" t="s">
        <v>135</v>
      </c>
      <c r="C78" s="75">
        <v>6.0</v>
      </c>
      <c r="D78" s="76" t="s">
        <v>108</v>
      </c>
      <c r="E78" s="14" t="s">
        <v>135</v>
      </c>
    </row>
    <row r="79">
      <c r="A79" s="75">
        <v>78.0</v>
      </c>
      <c r="B79" s="76" t="s">
        <v>334</v>
      </c>
      <c r="C79" s="75">
        <v>6.0</v>
      </c>
      <c r="D79" s="76" t="s">
        <v>108</v>
      </c>
      <c r="E79" s="14" t="s">
        <v>334</v>
      </c>
    </row>
    <row r="80">
      <c r="A80" s="75">
        <v>79.0</v>
      </c>
      <c r="B80" s="76" t="s">
        <v>271</v>
      </c>
      <c r="C80" s="75">
        <v>6.0</v>
      </c>
      <c r="D80" s="76" t="s">
        <v>108</v>
      </c>
      <c r="E80" s="14" t="s">
        <v>271</v>
      </c>
    </row>
    <row r="81">
      <c r="A81" s="75">
        <v>80.0</v>
      </c>
      <c r="B81" s="76" t="s">
        <v>197</v>
      </c>
      <c r="C81" s="75">
        <v>6.0</v>
      </c>
      <c r="D81" s="76" t="s">
        <v>152</v>
      </c>
      <c r="E81" s="14" t="s">
        <v>197</v>
      </c>
    </row>
    <row r="82">
      <c r="A82" s="75">
        <v>81.0</v>
      </c>
      <c r="B82" s="76" t="s">
        <v>335</v>
      </c>
      <c r="C82" s="75">
        <v>6.0</v>
      </c>
      <c r="D82" s="76" t="s">
        <v>147</v>
      </c>
      <c r="E82" s="14" t="s">
        <v>335</v>
      </c>
    </row>
    <row r="83">
      <c r="A83" s="75">
        <v>82.0</v>
      </c>
      <c r="B83" s="76" t="s">
        <v>336</v>
      </c>
      <c r="C83" s="75">
        <v>6.0</v>
      </c>
      <c r="D83" s="76" t="s">
        <v>134</v>
      </c>
      <c r="E83" s="14" t="s">
        <v>336</v>
      </c>
    </row>
    <row r="84">
      <c r="A84" s="75">
        <v>83.0</v>
      </c>
      <c r="B84" s="76" t="s">
        <v>257</v>
      </c>
      <c r="C84" s="75">
        <v>6.0</v>
      </c>
      <c r="D84" s="76" t="s">
        <v>147</v>
      </c>
      <c r="E84" s="14" t="s">
        <v>257</v>
      </c>
    </row>
    <row r="85">
      <c r="A85" s="75">
        <v>84.0</v>
      </c>
      <c r="B85" s="76" t="s">
        <v>337</v>
      </c>
      <c r="C85" s="75">
        <v>6.0</v>
      </c>
      <c r="D85" s="76" t="s">
        <v>134</v>
      </c>
      <c r="E85" s="14" t="s">
        <v>337</v>
      </c>
    </row>
    <row r="86">
      <c r="A86" s="75">
        <v>85.0</v>
      </c>
      <c r="B86" s="76" t="s">
        <v>338</v>
      </c>
      <c r="C86" s="75">
        <v>6.0</v>
      </c>
      <c r="D86" s="76" t="s">
        <v>134</v>
      </c>
      <c r="E86" s="14" t="s">
        <v>338</v>
      </c>
    </row>
    <row r="87">
      <c r="A87" s="75">
        <v>86.0</v>
      </c>
      <c r="B87" s="76" t="s">
        <v>341</v>
      </c>
      <c r="C87" s="75">
        <v>6.0</v>
      </c>
      <c r="D87" s="76" t="s">
        <v>134</v>
      </c>
      <c r="E87" s="14" t="s">
        <v>341</v>
      </c>
    </row>
    <row r="88">
      <c r="A88" s="75">
        <v>87.0</v>
      </c>
      <c r="B88" s="76" t="s">
        <v>342</v>
      </c>
      <c r="C88" s="75">
        <v>6.0</v>
      </c>
      <c r="D88" s="76" t="s">
        <v>134</v>
      </c>
      <c r="E88" s="14" t="s">
        <v>342</v>
      </c>
    </row>
    <row r="89">
      <c r="A89" s="75">
        <v>88.0</v>
      </c>
      <c r="B89" s="76" t="s">
        <v>343</v>
      </c>
      <c r="C89" s="75">
        <v>6.0</v>
      </c>
      <c r="D89" s="76" t="s">
        <v>99</v>
      </c>
      <c r="E89" s="14" t="s">
        <v>343</v>
      </c>
    </row>
    <row r="90">
      <c r="A90" s="75">
        <v>89.0</v>
      </c>
      <c r="B90" s="76" t="s">
        <v>344</v>
      </c>
      <c r="C90" s="75">
        <v>6.0</v>
      </c>
      <c r="D90" s="76" t="s">
        <v>108</v>
      </c>
      <c r="E90" s="14" t="s">
        <v>344</v>
      </c>
    </row>
    <row r="91">
      <c r="A91" s="75">
        <v>90.0</v>
      </c>
      <c r="B91" s="76" t="s">
        <v>345</v>
      </c>
      <c r="C91" s="75">
        <v>6.0</v>
      </c>
      <c r="D91" s="76" t="s">
        <v>99</v>
      </c>
      <c r="E91" s="14" t="s">
        <v>345</v>
      </c>
    </row>
    <row r="92">
      <c r="A92" s="75">
        <v>91.0</v>
      </c>
      <c r="B92" s="76" t="s">
        <v>346</v>
      </c>
      <c r="C92" s="75">
        <v>6.0</v>
      </c>
      <c r="D92" s="76" t="s">
        <v>134</v>
      </c>
      <c r="E92" s="14" t="s">
        <v>346</v>
      </c>
    </row>
    <row r="93">
      <c r="A93" s="75">
        <v>92.0</v>
      </c>
      <c r="B93" s="76" t="s">
        <v>347</v>
      </c>
      <c r="C93" s="75">
        <v>6.0</v>
      </c>
      <c r="D93" s="76" t="s">
        <v>108</v>
      </c>
      <c r="E93" s="14" t="s">
        <v>347</v>
      </c>
    </row>
    <row r="94">
      <c r="A94" s="75">
        <v>93.0</v>
      </c>
      <c r="B94" s="76" t="s">
        <v>174</v>
      </c>
      <c r="C94" s="75">
        <v>6.0</v>
      </c>
      <c r="D94" s="76" t="s">
        <v>99</v>
      </c>
      <c r="E94" s="14" t="s">
        <v>174</v>
      </c>
    </row>
    <row r="95">
      <c r="A95" s="75">
        <v>94.0</v>
      </c>
      <c r="B95" s="76" t="s">
        <v>348</v>
      </c>
      <c r="C95" s="75">
        <v>6.0</v>
      </c>
      <c r="D95" s="76" t="s">
        <v>43</v>
      </c>
      <c r="E95" s="14" t="s">
        <v>348</v>
      </c>
    </row>
    <row r="96">
      <c r="A96" s="75">
        <v>95.0</v>
      </c>
      <c r="B96" s="76" t="s">
        <v>349</v>
      </c>
      <c r="C96" s="75">
        <v>6.0</v>
      </c>
      <c r="D96" s="76" t="s">
        <v>147</v>
      </c>
      <c r="E96" s="14" t="s">
        <v>349</v>
      </c>
    </row>
    <row r="97">
      <c r="A97" s="75">
        <v>96.0</v>
      </c>
      <c r="B97" s="76" t="s">
        <v>350</v>
      </c>
      <c r="C97" s="75">
        <v>6.0</v>
      </c>
      <c r="D97" s="76" t="s">
        <v>99</v>
      </c>
      <c r="E97" s="14" t="s">
        <v>350</v>
      </c>
    </row>
    <row r="98">
      <c r="A98" s="75">
        <v>97.0</v>
      </c>
      <c r="B98" s="76" t="s">
        <v>270</v>
      </c>
      <c r="C98" s="75">
        <v>6.0</v>
      </c>
      <c r="D98" s="76" t="s">
        <v>43</v>
      </c>
      <c r="E98" s="14" t="s">
        <v>270</v>
      </c>
    </row>
    <row r="99">
      <c r="A99" s="75">
        <v>98.0</v>
      </c>
      <c r="B99" s="76" t="s">
        <v>351</v>
      </c>
      <c r="C99" s="75">
        <v>6.0</v>
      </c>
      <c r="D99" s="76" t="s">
        <v>147</v>
      </c>
      <c r="E99" s="14" t="s">
        <v>351</v>
      </c>
    </row>
    <row r="100">
      <c r="A100" s="75">
        <v>99.0</v>
      </c>
      <c r="B100" s="76" t="s">
        <v>352</v>
      </c>
      <c r="C100" s="75">
        <v>6.0</v>
      </c>
      <c r="D100" s="76" t="s">
        <v>147</v>
      </c>
      <c r="E100" s="14" t="s">
        <v>352</v>
      </c>
    </row>
    <row r="101">
      <c r="A101" s="75">
        <v>100.0</v>
      </c>
      <c r="B101" s="76" t="s">
        <v>353</v>
      </c>
      <c r="C101" s="75">
        <v>6.0</v>
      </c>
      <c r="D101" s="76" t="s">
        <v>99</v>
      </c>
      <c r="E101" s="14" t="s">
        <v>353</v>
      </c>
    </row>
    <row r="102">
      <c r="A102" s="75">
        <v>101.0</v>
      </c>
      <c r="B102" s="76" t="s">
        <v>252</v>
      </c>
      <c r="C102" s="75">
        <v>6.0</v>
      </c>
      <c r="D102" s="76" t="s">
        <v>152</v>
      </c>
      <c r="E102" s="14" t="s">
        <v>252</v>
      </c>
    </row>
    <row r="103">
      <c r="A103" s="75">
        <v>102.0</v>
      </c>
      <c r="B103" s="76" t="s">
        <v>91</v>
      </c>
      <c r="C103" s="75">
        <v>6.0</v>
      </c>
      <c r="D103" s="76" t="s">
        <v>43</v>
      </c>
      <c r="E103" s="14" t="s">
        <v>91</v>
      </c>
    </row>
    <row r="104">
      <c r="A104" s="75">
        <v>103.0</v>
      </c>
      <c r="B104" s="76" t="s">
        <v>354</v>
      </c>
      <c r="C104" s="75">
        <v>6.0</v>
      </c>
      <c r="D104" s="76" t="s">
        <v>43</v>
      </c>
      <c r="E104" s="14" t="s">
        <v>354</v>
      </c>
    </row>
    <row r="105">
      <c r="A105" s="75">
        <v>104.0</v>
      </c>
      <c r="B105" s="76" t="s">
        <v>180</v>
      </c>
      <c r="C105" s="75">
        <v>6.0</v>
      </c>
      <c r="D105" s="76" t="s">
        <v>99</v>
      </c>
      <c r="E105" s="14" t="s">
        <v>180</v>
      </c>
    </row>
    <row r="106">
      <c r="A106" s="75">
        <v>105.0</v>
      </c>
      <c r="B106" s="76" t="s">
        <v>126</v>
      </c>
      <c r="C106" s="75">
        <v>6.0</v>
      </c>
      <c r="D106" s="76" t="s">
        <v>152</v>
      </c>
      <c r="E106" s="14" t="s">
        <v>126</v>
      </c>
    </row>
    <row r="107">
      <c r="A107" s="75">
        <v>106.0</v>
      </c>
      <c r="B107" s="76" t="s">
        <v>249</v>
      </c>
      <c r="C107" s="75">
        <v>6.0</v>
      </c>
      <c r="D107" s="76" t="s">
        <v>99</v>
      </c>
      <c r="E107" s="14" t="s">
        <v>249</v>
      </c>
    </row>
    <row r="108">
      <c r="A108" s="75">
        <v>107.0</v>
      </c>
      <c r="B108" s="76" t="s">
        <v>355</v>
      </c>
      <c r="C108" s="75">
        <v>6.0</v>
      </c>
      <c r="D108" s="76" t="s">
        <v>43</v>
      </c>
      <c r="E108" s="14" t="s">
        <v>355</v>
      </c>
    </row>
    <row r="109">
      <c r="A109" s="75">
        <v>108.0</v>
      </c>
      <c r="B109" s="76" t="s">
        <v>240</v>
      </c>
      <c r="C109" s="75">
        <v>6.0</v>
      </c>
      <c r="D109" s="76" t="s">
        <v>43</v>
      </c>
      <c r="E109" s="14" t="s">
        <v>240</v>
      </c>
    </row>
    <row r="110">
      <c r="A110" s="75">
        <v>109.0</v>
      </c>
      <c r="B110" s="76" t="s">
        <v>300</v>
      </c>
      <c r="C110" s="75">
        <v>6.0</v>
      </c>
      <c r="D110" s="76" t="s">
        <v>99</v>
      </c>
      <c r="E110" s="14" t="s">
        <v>300</v>
      </c>
    </row>
    <row r="111">
      <c r="A111" s="75">
        <v>110.0</v>
      </c>
      <c r="B111" s="76" t="s">
        <v>356</v>
      </c>
      <c r="C111" s="75">
        <v>6.0</v>
      </c>
      <c r="D111" s="76" t="s">
        <v>43</v>
      </c>
      <c r="E111" s="14" t="s">
        <v>356</v>
      </c>
    </row>
    <row r="112">
      <c r="A112" s="75">
        <v>111.0</v>
      </c>
      <c r="B112" s="76" t="s">
        <v>357</v>
      </c>
      <c r="C112" s="75">
        <v>6.0</v>
      </c>
      <c r="D112" s="76" t="s">
        <v>134</v>
      </c>
      <c r="E112" s="14" t="s">
        <v>357</v>
      </c>
    </row>
    <row r="113">
      <c r="A113" s="75">
        <v>112.0</v>
      </c>
      <c r="B113" s="76" t="s">
        <v>358</v>
      </c>
      <c r="C113" s="75">
        <v>6.0</v>
      </c>
      <c r="D113" s="76" t="s">
        <v>134</v>
      </c>
      <c r="E113" s="14" t="s">
        <v>358</v>
      </c>
    </row>
    <row r="114">
      <c r="A114" s="75">
        <v>113.0</v>
      </c>
      <c r="B114" s="76" t="s">
        <v>359</v>
      </c>
      <c r="C114" s="75">
        <v>6.0</v>
      </c>
      <c r="D114" s="76" t="s">
        <v>134</v>
      </c>
      <c r="E114" s="14" t="s">
        <v>359</v>
      </c>
    </row>
    <row r="115">
      <c r="A115" s="75">
        <v>114.0</v>
      </c>
      <c r="B115" s="76" t="s">
        <v>360</v>
      </c>
      <c r="C115" s="75">
        <v>6.0</v>
      </c>
      <c r="D115" s="76" t="s">
        <v>108</v>
      </c>
      <c r="E115" s="14" t="s">
        <v>360</v>
      </c>
    </row>
    <row r="116">
      <c r="A116" s="75">
        <v>115.0</v>
      </c>
      <c r="B116" s="76" t="s">
        <v>361</v>
      </c>
      <c r="C116" s="75">
        <v>6.0</v>
      </c>
      <c r="D116" s="76" t="s">
        <v>147</v>
      </c>
      <c r="E116" s="14" t="s">
        <v>361</v>
      </c>
    </row>
    <row r="117">
      <c r="A117" s="75">
        <v>116.0</v>
      </c>
      <c r="B117" s="76" t="s">
        <v>294</v>
      </c>
      <c r="C117" s="75">
        <v>6.0</v>
      </c>
      <c r="D117" s="76" t="s">
        <v>134</v>
      </c>
      <c r="E117" s="14" t="s">
        <v>294</v>
      </c>
    </row>
    <row r="118">
      <c r="A118" s="75">
        <v>117.0</v>
      </c>
      <c r="B118" s="76" t="s">
        <v>181</v>
      </c>
      <c r="C118" s="75">
        <v>6.0</v>
      </c>
      <c r="D118" s="76" t="s">
        <v>147</v>
      </c>
      <c r="E118" s="14" t="s">
        <v>181</v>
      </c>
    </row>
    <row r="119">
      <c r="A119" s="75">
        <v>118.0</v>
      </c>
      <c r="B119" s="76" t="s">
        <v>265</v>
      </c>
      <c r="C119" s="75">
        <v>6.0</v>
      </c>
      <c r="D119" s="76" t="s">
        <v>134</v>
      </c>
      <c r="E119" s="14" t="s">
        <v>265</v>
      </c>
    </row>
    <row r="120">
      <c r="A120" s="75">
        <v>119.0</v>
      </c>
      <c r="B120" s="76" t="s">
        <v>363</v>
      </c>
      <c r="C120" s="75">
        <v>6.0</v>
      </c>
      <c r="D120" s="76" t="s">
        <v>147</v>
      </c>
      <c r="E120" s="14" t="s">
        <v>363</v>
      </c>
    </row>
    <row r="121">
      <c r="A121" s="75">
        <v>120.0</v>
      </c>
      <c r="B121" s="76" t="s">
        <v>364</v>
      </c>
      <c r="C121" s="75">
        <v>6.0</v>
      </c>
      <c r="D121" s="76" t="s">
        <v>522</v>
      </c>
      <c r="E121" s="14" t="s">
        <v>364</v>
      </c>
    </row>
    <row r="122">
      <c r="A122" s="75">
        <v>121.0</v>
      </c>
      <c r="B122" s="76" t="s">
        <v>365</v>
      </c>
      <c r="C122" s="75">
        <v>6.0</v>
      </c>
      <c r="D122" s="76" t="s">
        <v>147</v>
      </c>
      <c r="E122" s="14" t="s">
        <v>365</v>
      </c>
    </row>
    <row r="123">
      <c r="A123" s="75">
        <v>122.0</v>
      </c>
      <c r="B123" s="76" t="s">
        <v>366</v>
      </c>
      <c r="C123" s="75">
        <v>6.0</v>
      </c>
      <c r="D123" s="76" t="s">
        <v>147</v>
      </c>
      <c r="E123" s="14" t="s">
        <v>366</v>
      </c>
    </row>
    <row r="124">
      <c r="A124" s="75">
        <v>123.0</v>
      </c>
      <c r="B124" s="76" t="s">
        <v>368</v>
      </c>
      <c r="C124" s="75">
        <v>6.0</v>
      </c>
      <c r="D124" s="76" t="s">
        <v>43</v>
      </c>
      <c r="E124" s="14" t="s">
        <v>368</v>
      </c>
    </row>
    <row r="125">
      <c r="A125" s="75">
        <v>124.0</v>
      </c>
      <c r="B125" s="76" t="s">
        <v>369</v>
      </c>
      <c r="C125" s="75">
        <v>6.0</v>
      </c>
      <c r="D125" s="76" t="s">
        <v>147</v>
      </c>
      <c r="E125" s="14" t="s">
        <v>369</v>
      </c>
    </row>
    <row r="126">
      <c r="A126" s="75">
        <v>125.0</v>
      </c>
      <c r="B126" s="76" t="s">
        <v>370</v>
      </c>
      <c r="C126" s="75">
        <v>6.0</v>
      </c>
      <c r="D126" s="76" t="s">
        <v>152</v>
      </c>
      <c r="E126" s="14" t="s">
        <v>370</v>
      </c>
    </row>
    <row r="127">
      <c r="A127" s="75">
        <v>126.0</v>
      </c>
      <c r="B127" s="76" t="s">
        <v>372</v>
      </c>
      <c r="C127" s="75">
        <v>6.0</v>
      </c>
      <c r="D127" s="76" t="s">
        <v>99</v>
      </c>
      <c r="E127" s="14" t="s">
        <v>372</v>
      </c>
    </row>
    <row r="128">
      <c r="A128" s="75">
        <v>127.0</v>
      </c>
      <c r="B128" s="76" t="s">
        <v>374</v>
      </c>
      <c r="C128" s="75">
        <v>6.0</v>
      </c>
      <c r="D128" s="76" t="s">
        <v>152</v>
      </c>
      <c r="E128" s="14" t="s">
        <v>374</v>
      </c>
    </row>
    <row r="129">
      <c r="A129" s="75">
        <v>128.0</v>
      </c>
      <c r="B129" s="76" t="s">
        <v>377</v>
      </c>
      <c r="C129" s="75">
        <v>6.0</v>
      </c>
      <c r="D129" s="76" t="s">
        <v>99</v>
      </c>
      <c r="E129" s="14" t="s">
        <v>377</v>
      </c>
    </row>
    <row r="130">
      <c r="A130" s="75">
        <v>129.0</v>
      </c>
      <c r="B130" s="76" t="s">
        <v>378</v>
      </c>
      <c r="C130" s="75">
        <v>6.0</v>
      </c>
      <c r="D130" s="76" t="s">
        <v>43</v>
      </c>
      <c r="E130" s="14" t="s">
        <v>378</v>
      </c>
    </row>
    <row r="131">
      <c r="A131" s="75">
        <v>130.0</v>
      </c>
      <c r="B131" s="76" t="s">
        <v>381</v>
      </c>
      <c r="C131" s="75">
        <v>6.0</v>
      </c>
      <c r="D131" s="76" t="s">
        <v>152</v>
      </c>
      <c r="E131" s="14" t="s">
        <v>381</v>
      </c>
    </row>
    <row r="132">
      <c r="A132" s="75">
        <v>131.0</v>
      </c>
      <c r="B132" s="76" t="s">
        <v>383</v>
      </c>
      <c r="C132" s="75">
        <v>6.0</v>
      </c>
      <c r="D132" s="76" t="s">
        <v>152</v>
      </c>
      <c r="E132" s="14" t="s">
        <v>383</v>
      </c>
    </row>
    <row r="133">
      <c r="A133" s="75">
        <v>132.0</v>
      </c>
      <c r="B133" s="76" t="s">
        <v>387</v>
      </c>
      <c r="C133" s="75">
        <v>6.0</v>
      </c>
      <c r="D133" s="76" t="s">
        <v>99</v>
      </c>
      <c r="E133" s="14" t="s">
        <v>387</v>
      </c>
    </row>
    <row r="134">
      <c r="A134" s="75">
        <v>133.0</v>
      </c>
      <c r="B134" s="76" t="s">
        <v>90</v>
      </c>
      <c r="C134" s="75">
        <v>6.0</v>
      </c>
      <c r="D134" s="76" t="s">
        <v>43</v>
      </c>
      <c r="E134" s="14" t="s">
        <v>90</v>
      </c>
    </row>
    <row r="135">
      <c r="A135" s="75">
        <v>134.0</v>
      </c>
      <c r="B135" s="76" t="s">
        <v>392</v>
      </c>
      <c r="C135" s="75">
        <v>6.0</v>
      </c>
      <c r="D135" s="76" t="s">
        <v>99</v>
      </c>
      <c r="E135" s="14" t="s">
        <v>392</v>
      </c>
    </row>
    <row r="136">
      <c r="A136" s="75">
        <v>135.0</v>
      </c>
      <c r="B136" s="76" t="s">
        <v>396</v>
      </c>
      <c r="C136" s="75">
        <v>6.0</v>
      </c>
      <c r="D136" s="76" t="s">
        <v>43</v>
      </c>
      <c r="E136" s="14" t="s">
        <v>396</v>
      </c>
    </row>
    <row r="137">
      <c r="A137" s="75">
        <v>136.0</v>
      </c>
      <c r="B137" s="76" t="s">
        <v>399</v>
      </c>
      <c r="C137" s="75">
        <v>6.0</v>
      </c>
      <c r="D137" s="76" t="s">
        <v>152</v>
      </c>
      <c r="E137" s="14" t="s">
        <v>399</v>
      </c>
    </row>
    <row r="138">
      <c r="A138" s="75">
        <v>137.0</v>
      </c>
      <c r="B138" s="76" t="s">
        <v>400</v>
      </c>
      <c r="C138" s="75">
        <v>6.0</v>
      </c>
      <c r="D138" s="76" t="s">
        <v>43</v>
      </c>
      <c r="E138" s="14" t="s">
        <v>400</v>
      </c>
    </row>
    <row r="139">
      <c r="A139" s="75">
        <v>138.0</v>
      </c>
      <c r="B139" s="76" t="s">
        <v>403</v>
      </c>
      <c r="C139" s="75">
        <v>6.0</v>
      </c>
      <c r="D139" s="76" t="s">
        <v>99</v>
      </c>
      <c r="E139" s="14" t="s">
        <v>403</v>
      </c>
    </row>
    <row r="140">
      <c r="A140" s="75">
        <v>139.0</v>
      </c>
      <c r="B140" s="76" t="s">
        <v>407</v>
      </c>
      <c r="C140" s="75">
        <v>6.0</v>
      </c>
      <c r="D140" s="76" t="s">
        <v>147</v>
      </c>
      <c r="E140" s="14" t="s">
        <v>407</v>
      </c>
    </row>
    <row r="141">
      <c r="A141" s="75">
        <v>140.0</v>
      </c>
      <c r="B141" s="76" t="s">
        <v>410</v>
      </c>
      <c r="C141" s="75">
        <v>6.0</v>
      </c>
      <c r="D141" s="76" t="s">
        <v>99</v>
      </c>
      <c r="E141" s="14" t="s">
        <v>410</v>
      </c>
    </row>
    <row r="142">
      <c r="A142" s="75">
        <v>141.0</v>
      </c>
      <c r="B142" s="76" t="s">
        <v>413</v>
      </c>
      <c r="C142" s="75">
        <v>6.0</v>
      </c>
      <c r="D142" s="76" t="s">
        <v>152</v>
      </c>
      <c r="E142" s="14" t="s">
        <v>413</v>
      </c>
    </row>
    <row r="143">
      <c r="A143" s="75">
        <v>142.0</v>
      </c>
      <c r="B143" s="76" t="s">
        <v>417</v>
      </c>
      <c r="C143" s="75">
        <v>6.0</v>
      </c>
      <c r="D143" s="76" t="s">
        <v>99</v>
      </c>
      <c r="E143" s="14" t="s">
        <v>417</v>
      </c>
    </row>
    <row r="144">
      <c r="A144" s="75">
        <v>143.0</v>
      </c>
      <c r="B144" s="76" t="s">
        <v>189</v>
      </c>
      <c r="C144" s="75">
        <v>6.0</v>
      </c>
      <c r="D144" s="76" t="s">
        <v>108</v>
      </c>
      <c r="E144" s="14" t="s">
        <v>189</v>
      </c>
    </row>
    <row r="145">
      <c r="A145" s="75">
        <v>144.0</v>
      </c>
      <c r="B145" s="76" t="s">
        <v>419</v>
      </c>
      <c r="C145" s="75">
        <v>6.0</v>
      </c>
      <c r="D145" s="76" t="s">
        <v>43</v>
      </c>
      <c r="E145" s="14" t="s">
        <v>419</v>
      </c>
    </row>
    <row r="146">
      <c r="A146" s="75">
        <v>145.0</v>
      </c>
      <c r="B146" s="76" t="s">
        <v>422</v>
      </c>
      <c r="C146" s="75">
        <v>6.0</v>
      </c>
      <c r="D146" s="76" t="s">
        <v>99</v>
      </c>
      <c r="E146" s="14" t="s">
        <v>422</v>
      </c>
    </row>
    <row r="147">
      <c r="A147" s="75">
        <v>146.0</v>
      </c>
      <c r="B147" s="76" t="s">
        <v>425</v>
      </c>
      <c r="C147" s="75">
        <v>6.0</v>
      </c>
      <c r="D147" s="76" t="s">
        <v>152</v>
      </c>
      <c r="E147" s="14" t="s">
        <v>425</v>
      </c>
    </row>
    <row r="148">
      <c r="A148" s="75">
        <v>147.0</v>
      </c>
      <c r="B148" s="76" t="s">
        <v>427</v>
      </c>
      <c r="C148" s="75">
        <v>6.0</v>
      </c>
      <c r="D148" s="76" t="s">
        <v>152</v>
      </c>
      <c r="E148" s="14" t="s">
        <v>427</v>
      </c>
    </row>
    <row r="149">
      <c r="A149" s="75">
        <v>148.0</v>
      </c>
      <c r="B149" s="76" t="s">
        <v>430</v>
      </c>
      <c r="C149" s="75">
        <v>6.0</v>
      </c>
      <c r="D149" s="76" t="s">
        <v>152</v>
      </c>
      <c r="E149" s="14" t="s">
        <v>430</v>
      </c>
    </row>
    <row r="150">
      <c r="A150" s="75">
        <v>149.0</v>
      </c>
      <c r="B150" s="76" t="s">
        <v>380</v>
      </c>
      <c r="C150" s="75">
        <v>6.0</v>
      </c>
      <c r="D150" s="76" t="s">
        <v>108</v>
      </c>
      <c r="E150" s="14" t="s">
        <v>380</v>
      </c>
    </row>
    <row r="151">
      <c r="A151" s="75">
        <v>150.0</v>
      </c>
      <c r="B151" s="76" t="s">
        <v>242</v>
      </c>
      <c r="C151" s="75">
        <v>6.0</v>
      </c>
      <c r="D151" s="76" t="s">
        <v>99</v>
      </c>
      <c r="E151" s="14" t="s">
        <v>242</v>
      </c>
    </row>
    <row r="152">
      <c r="A152" s="75">
        <v>151.0</v>
      </c>
      <c r="B152" s="76" t="s">
        <v>376</v>
      </c>
      <c r="C152" s="75">
        <v>6.0</v>
      </c>
      <c r="D152" s="76" t="s">
        <v>108</v>
      </c>
      <c r="E152" s="14" t="s">
        <v>376</v>
      </c>
    </row>
    <row r="153">
      <c r="A153" s="75">
        <v>152.0</v>
      </c>
      <c r="B153" s="76" t="s">
        <v>436</v>
      </c>
      <c r="C153" s="75">
        <v>6.0</v>
      </c>
      <c r="D153" s="76" t="s">
        <v>134</v>
      </c>
      <c r="E153" s="14" t="s">
        <v>436</v>
      </c>
    </row>
    <row r="154">
      <c r="A154" s="75">
        <v>153.0</v>
      </c>
      <c r="B154" s="76" t="s">
        <v>438</v>
      </c>
      <c r="C154" s="75">
        <v>6.0</v>
      </c>
      <c r="D154" s="76" t="s">
        <v>147</v>
      </c>
      <c r="E154" s="14" t="s">
        <v>438</v>
      </c>
    </row>
    <row r="155">
      <c r="A155" s="75">
        <v>154.0</v>
      </c>
      <c r="B155" s="76" t="s">
        <v>441</v>
      </c>
      <c r="C155" s="75">
        <v>6.0</v>
      </c>
      <c r="D155" s="76" t="s">
        <v>134</v>
      </c>
      <c r="E155" s="14" t="s">
        <v>441</v>
      </c>
    </row>
    <row r="156">
      <c r="A156" s="75">
        <v>155.0</v>
      </c>
      <c r="B156" s="76" t="s">
        <v>442</v>
      </c>
      <c r="C156" s="75">
        <v>6.0</v>
      </c>
      <c r="D156" s="76" t="s">
        <v>134</v>
      </c>
      <c r="E156" s="14" t="s">
        <v>442</v>
      </c>
    </row>
    <row r="157">
      <c r="A157" s="75">
        <v>156.0</v>
      </c>
      <c r="B157" s="76" t="s">
        <v>443</v>
      </c>
      <c r="C157" s="75">
        <v>6.0</v>
      </c>
      <c r="D157" s="76" t="s">
        <v>147</v>
      </c>
      <c r="E157" s="14" t="s">
        <v>443</v>
      </c>
    </row>
    <row r="158">
      <c r="A158" s="75">
        <v>157.0</v>
      </c>
      <c r="B158" s="76" t="s">
        <v>445</v>
      </c>
      <c r="C158" s="75">
        <v>6.0</v>
      </c>
      <c r="D158" s="76" t="s">
        <v>134</v>
      </c>
      <c r="E158" s="14" t="s">
        <v>445</v>
      </c>
    </row>
    <row r="159">
      <c r="A159" s="75">
        <v>158.0</v>
      </c>
      <c r="B159" s="76" t="s">
        <v>440</v>
      </c>
      <c r="C159" s="75">
        <v>6.0</v>
      </c>
      <c r="D159" s="76" t="s">
        <v>147</v>
      </c>
      <c r="E159" s="14" t="s">
        <v>440</v>
      </c>
    </row>
    <row r="160">
      <c r="A160" s="75">
        <v>159.0</v>
      </c>
      <c r="B160" s="76" t="s">
        <v>386</v>
      </c>
      <c r="C160" s="75">
        <v>6.0</v>
      </c>
      <c r="D160" s="76" t="s">
        <v>108</v>
      </c>
      <c r="E160" s="14" t="s">
        <v>386</v>
      </c>
    </row>
    <row r="161">
      <c r="A161" s="75">
        <v>160.0</v>
      </c>
      <c r="B161" s="76" t="s">
        <v>451</v>
      </c>
      <c r="C161" s="75">
        <v>6.0</v>
      </c>
      <c r="D161" s="76" t="s">
        <v>134</v>
      </c>
      <c r="E161" s="14" t="s">
        <v>451</v>
      </c>
    </row>
    <row r="162">
      <c r="A162" s="75">
        <v>161.0</v>
      </c>
      <c r="B162" s="76" t="s">
        <v>454</v>
      </c>
      <c r="C162" s="75">
        <v>6.0</v>
      </c>
      <c r="D162" s="76" t="s">
        <v>99</v>
      </c>
      <c r="E162" s="14" t="s">
        <v>454</v>
      </c>
    </row>
    <row r="163">
      <c r="A163" s="75">
        <v>162.0</v>
      </c>
      <c r="B163" s="76" t="s">
        <v>429</v>
      </c>
      <c r="C163" s="75">
        <v>6.0</v>
      </c>
      <c r="D163" s="76" t="s">
        <v>147</v>
      </c>
      <c r="E163" s="14" t="s">
        <v>429</v>
      </c>
    </row>
    <row r="164">
      <c r="A164" s="75">
        <v>163.0</v>
      </c>
      <c r="B164" s="76" t="s">
        <v>456</v>
      </c>
      <c r="C164" s="75">
        <v>6.0</v>
      </c>
      <c r="D164" s="76" t="s">
        <v>43</v>
      </c>
      <c r="E164" s="14" t="s">
        <v>456</v>
      </c>
    </row>
    <row r="165">
      <c r="A165" s="75">
        <v>164.0</v>
      </c>
      <c r="B165" s="76" t="s">
        <v>220</v>
      </c>
      <c r="C165" s="75">
        <v>6.0</v>
      </c>
      <c r="D165" s="76" t="s">
        <v>99</v>
      </c>
      <c r="E165" s="14" t="s">
        <v>220</v>
      </c>
    </row>
    <row r="166">
      <c r="A166" s="75">
        <v>165.0</v>
      </c>
      <c r="B166" s="76" t="s">
        <v>385</v>
      </c>
      <c r="C166" s="75">
        <v>6.0</v>
      </c>
      <c r="D166" s="76" t="s">
        <v>108</v>
      </c>
      <c r="E166" s="14" t="s">
        <v>385</v>
      </c>
    </row>
    <row r="167">
      <c r="A167" s="75">
        <v>166.0</v>
      </c>
      <c r="B167" s="76" t="s">
        <v>460</v>
      </c>
      <c r="C167" s="75">
        <v>6.0</v>
      </c>
      <c r="D167" s="76" t="s">
        <v>152</v>
      </c>
      <c r="E167" s="14" t="s">
        <v>460</v>
      </c>
    </row>
    <row r="168">
      <c r="A168" s="75">
        <v>167.0</v>
      </c>
      <c r="B168" s="76" t="s">
        <v>463</v>
      </c>
      <c r="C168" s="75">
        <v>6.0</v>
      </c>
      <c r="D168" s="76" t="s">
        <v>43</v>
      </c>
      <c r="E168" s="14" t="s">
        <v>463</v>
      </c>
    </row>
    <row r="169">
      <c r="A169" s="75">
        <v>168.0</v>
      </c>
      <c r="B169" s="76" t="s">
        <v>466</v>
      </c>
      <c r="C169" s="75">
        <v>6.0</v>
      </c>
      <c r="D169" s="76" t="s">
        <v>134</v>
      </c>
      <c r="E169" s="14" t="s">
        <v>466</v>
      </c>
    </row>
    <row r="170">
      <c r="A170" s="75">
        <v>169.0</v>
      </c>
      <c r="B170" s="76" t="s">
        <v>468</v>
      </c>
      <c r="C170" s="75">
        <v>6.0</v>
      </c>
      <c r="D170" s="76" t="s">
        <v>43</v>
      </c>
      <c r="E170" s="14" t="s">
        <v>468</v>
      </c>
    </row>
    <row r="171">
      <c r="A171" s="75">
        <v>170.0</v>
      </c>
      <c r="B171" s="76" t="s">
        <v>470</v>
      </c>
      <c r="C171" s="75">
        <v>6.0</v>
      </c>
      <c r="D171" s="76" t="s">
        <v>134</v>
      </c>
      <c r="E171" s="14" t="s">
        <v>470</v>
      </c>
    </row>
    <row r="172">
      <c r="A172" s="75">
        <v>171.0</v>
      </c>
      <c r="B172" s="76" t="s">
        <v>471</v>
      </c>
      <c r="C172" s="75">
        <v>6.0</v>
      </c>
      <c r="D172" s="76" t="s">
        <v>134</v>
      </c>
      <c r="E172" s="14" t="s">
        <v>471</v>
      </c>
    </row>
    <row r="173">
      <c r="A173" s="75">
        <v>172.0</v>
      </c>
      <c r="B173" s="76" t="s">
        <v>259</v>
      </c>
      <c r="C173" s="75">
        <v>6.0</v>
      </c>
      <c r="D173" s="76" t="s">
        <v>134</v>
      </c>
      <c r="E173" s="14" t="s">
        <v>259</v>
      </c>
    </row>
    <row r="174">
      <c r="A174" s="75">
        <v>173.0</v>
      </c>
      <c r="B174" s="76" t="s">
        <v>473</v>
      </c>
      <c r="C174" s="75">
        <v>6.0</v>
      </c>
      <c r="D174" s="76" t="s">
        <v>134</v>
      </c>
      <c r="E174" s="14" t="s">
        <v>473</v>
      </c>
    </row>
    <row r="175">
      <c r="A175" s="75">
        <v>174.0</v>
      </c>
      <c r="B175" s="76" t="s">
        <v>474</v>
      </c>
      <c r="C175" s="75">
        <v>6.0</v>
      </c>
      <c r="D175" s="76" t="s">
        <v>43</v>
      </c>
      <c r="E175" s="14" t="s">
        <v>474</v>
      </c>
    </row>
    <row r="176">
      <c r="A176" s="75">
        <v>175.0</v>
      </c>
      <c r="B176" s="76" t="s">
        <v>475</v>
      </c>
      <c r="C176" s="75">
        <v>6.0</v>
      </c>
      <c r="D176" s="76" t="s">
        <v>43</v>
      </c>
      <c r="E176" s="14" t="s">
        <v>475</v>
      </c>
    </row>
    <row r="177">
      <c r="A177" s="75">
        <v>176.0</v>
      </c>
      <c r="B177" s="76" t="s">
        <v>478</v>
      </c>
      <c r="C177" s="75">
        <v>6.0</v>
      </c>
      <c r="D177" s="76" t="s">
        <v>99</v>
      </c>
      <c r="E177" s="14" t="s">
        <v>478</v>
      </c>
    </row>
    <row r="178">
      <c r="A178" s="75">
        <v>177.0</v>
      </c>
      <c r="B178" s="76" t="s">
        <v>479</v>
      </c>
      <c r="C178" s="75">
        <v>6.0</v>
      </c>
      <c r="D178" s="76" t="s">
        <v>99</v>
      </c>
      <c r="E178" s="14" t="s">
        <v>479</v>
      </c>
    </row>
    <row r="179">
      <c r="A179" s="75">
        <v>178.0</v>
      </c>
      <c r="B179" s="76" t="s">
        <v>481</v>
      </c>
      <c r="C179" s="75">
        <v>6.0</v>
      </c>
      <c r="D179" s="76" t="s">
        <v>99</v>
      </c>
      <c r="E179" s="14" t="s">
        <v>481</v>
      </c>
    </row>
    <row r="180">
      <c r="A180" s="75">
        <v>179.0</v>
      </c>
      <c r="B180" s="76" t="s">
        <v>435</v>
      </c>
      <c r="C180" s="75">
        <v>6.0</v>
      </c>
      <c r="D180" s="76" t="s">
        <v>147</v>
      </c>
      <c r="E180" s="14" t="s">
        <v>435</v>
      </c>
    </row>
    <row r="181">
      <c r="A181" s="75">
        <v>180.0</v>
      </c>
      <c r="B181" s="76" t="s">
        <v>484</v>
      </c>
      <c r="C181" s="75">
        <v>6.0</v>
      </c>
      <c r="D181" s="76" t="s">
        <v>43</v>
      </c>
      <c r="E181" s="14" t="s">
        <v>484</v>
      </c>
    </row>
    <row r="182">
      <c r="A182" s="75">
        <v>181.0</v>
      </c>
      <c r="B182" s="76" t="s">
        <v>142</v>
      </c>
      <c r="C182" s="75">
        <v>6.0</v>
      </c>
      <c r="D182" s="76" t="s">
        <v>147</v>
      </c>
      <c r="E182" s="14" t="s">
        <v>142</v>
      </c>
    </row>
    <row r="183">
      <c r="A183" s="75">
        <v>182.0</v>
      </c>
      <c r="B183" s="76" t="s">
        <v>448</v>
      </c>
      <c r="C183" s="75">
        <v>6.0</v>
      </c>
      <c r="D183" s="76" t="s">
        <v>147</v>
      </c>
      <c r="E183" s="14" t="s">
        <v>448</v>
      </c>
    </row>
    <row r="184">
      <c r="A184" s="75">
        <v>183.0</v>
      </c>
      <c r="B184" s="76" t="s">
        <v>401</v>
      </c>
      <c r="C184" s="75">
        <v>6.0</v>
      </c>
      <c r="D184" s="76" t="s">
        <v>108</v>
      </c>
      <c r="E184" s="14" t="s">
        <v>401</v>
      </c>
    </row>
    <row r="185">
      <c r="A185" s="75">
        <v>184.0</v>
      </c>
      <c r="B185" s="76" t="s">
        <v>490</v>
      </c>
      <c r="C185" s="75">
        <v>6.0</v>
      </c>
      <c r="D185" s="76" t="s">
        <v>108</v>
      </c>
      <c r="E185" s="14" t="s">
        <v>490</v>
      </c>
    </row>
    <row r="186">
      <c r="A186" s="75">
        <v>185.0</v>
      </c>
      <c r="B186" s="76" t="s">
        <v>491</v>
      </c>
      <c r="C186" s="75">
        <v>6.0</v>
      </c>
      <c r="D186" s="76" t="s">
        <v>152</v>
      </c>
      <c r="E186" s="14" t="s">
        <v>491</v>
      </c>
    </row>
    <row r="187">
      <c r="A187" s="75">
        <v>186.0</v>
      </c>
      <c r="B187" s="76" t="s">
        <v>250</v>
      </c>
      <c r="C187" s="75">
        <v>6.0</v>
      </c>
      <c r="D187" s="76" t="s">
        <v>108</v>
      </c>
      <c r="E187" s="14" t="s">
        <v>250</v>
      </c>
    </row>
    <row r="188">
      <c r="A188" s="75">
        <v>187.0</v>
      </c>
      <c r="B188" s="76" t="s">
        <v>494</v>
      </c>
      <c r="C188" s="75">
        <v>6.0</v>
      </c>
      <c r="D188" s="76" t="s">
        <v>152</v>
      </c>
      <c r="E188" s="14" t="s">
        <v>494</v>
      </c>
    </row>
    <row r="189">
      <c r="A189" s="75">
        <v>188.0</v>
      </c>
      <c r="B189" s="76" t="s">
        <v>487</v>
      </c>
      <c r="C189" s="75">
        <v>6.0</v>
      </c>
      <c r="D189" s="76" t="s">
        <v>134</v>
      </c>
      <c r="E189" s="14" t="s">
        <v>487</v>
      </c>
    </row>
    <row r="190">
      <c r="A190" s="75">
        <v>189.0</v>
      </c>
      <c r="B190" s="76" t="s">
        <v>499</v>
      </c>
      <c r="C190" s="75">
        <v>6.0</v>
      </c>
      <c r="D190" s="76" t="s">
        <v>99</v>
      </c>
      <c r="E190" s="14" t="s">
        <v>499</v>
      </c>
    </row>
    <row r="191">
      <c r="A191" s="75">
        <v>190.0</v>
      </c>
      <c r="B191" s="76" t="s">
        <v>431</v>
      </c>
      <c r="C191" s="75">
        <v>6.0</v>
      </c>
      <c r="D191" s="76" t="s">
        <v>147</v>
      </c>
      <c r="E191" s="14" t="s">
        <v>431</v>
      </c>
    </row>
    <row r="192">
      <c r="A192" s="75">
        <v>191.0</v>
      </c>
      <c r="B192" s="76" t="s">
        <v>503</v>
      </c>
      <c r="C192" s="75">
        <v>6.0</v>
      </c>
      <c r="D192" s="76" t="s">
        <v>152</v>
      </c>
      <c r="E192" s="14" t="s">
        <v>503</v>
      </c>
    </row>
    <row r="193">
      <c r="A193" s="75">
        <v>192.0</v>
      </c>
      <c r="B193" s="76" t="s">
        <v>506</v>
      </c>
      <c r="C193" s="75">
        <v>6.0</v>
      </c>
      <c r="D193" s="76" t="s">
        <v>152</v>
      </c>
      <c r="E193" s="14" t="s">
        <v>506</v>
      </c>
    </row>
    <row r="194">
      <c r="A194" s="75">
        <v>193.0</v>
      </c>
      <c r="B194" s="76" t="s">
        <v>248</v>
      </c>
      <c r="C194" s="75">
        <v>6.0</v>
      </c>
      <c r="D194" s="76" t="s">
        <v>147</v>
      </c>
      <c r="E194" s="14" t="s">
        <v>248</v>
      </c>
    </row>
    <row r="195">
      <c r="A195" s="75">
        <v>194.0</v>
      </c>
      <c r="B195" s="76" t="s">
        <v>509</v>
      </c>
      <c r="C195" s="75">
        <v>6.0</v>
      </c>
      <c r="D195" s="76" t="s">
        <v>43</v>
      </c>
      <c r="E195" s="14" t="s">
        <v>509</v>
      </c>
    </row>
    <row r="196">
      <c r="A196" s="75">
        <v>195.0</v>
      </c>
      <c r="B196" s="76" t="s">
        <v>453</v>
      </c>
      <c r="C196" s="75">
        <v>6.0</v>
      </c>
      <c r="D196" s="76" t="s">
        <v>147</v>
      </c>
      <c r="E196" s="14" t="s">
        <v>453</v>
      </c>
    </row>
    <row r="197">
      <c r="A197" s="75">
        <v>196.0</v>
      </c>
      <c r="B197" s="76" t="s">
        <v>511</v>
      </c>
      <c r="C197" s="75">
        <v>6.0</v>
      </c>
      <c r="D197" s="76" t="s">
        <v>43</v>
      </c>
      <c r="E197" s="14" t="s">
        <v>511</v>
      </c>
    </row>
    <row r="198">
      <c r="A198" s="75">
        <v>197.0</v>
      </c>
      <c r="B198" s="76" t="s">
        <v>406</v>
      </c>
      <c r="C198" s="75">
        <v>6.0</v>
      </c>
      <c r="D198" s="76" t="s">
        <v>108</v>
      </c>
      <c r="E198" s="14" t="s">
        <v>406</v>
      </c>
    </row>
    <row r="199">
      <c r="A199" s="75">
        <v>198.0</v>
      </c>
      <c r="B199" s="76" t="s">
        <v>405</v>
      </c>
      <c r="C199" s="75">
        <v>6.0</v>
      </c>
      <c r="D199" s="76" t="s">
        <v>108</v>
      </c>
      <c r="E199" s="14" t="s">
        <v>405</v>
      </c>
    </row>
    <row r="200">
      <c r="A200" s="75">
        <v>199.0</v>
      </c>
      <c r="B200" s="76" t="s">
        <v>411</v>
      </c>
      <c r="C200" s="75">
        <v>6.0</v>
      </c>
      <c r="D200" s="76" t="s">
        <v>108</v>
      </c>
      <c r="E200" s="14" t="s">
        <v>411</v>
      </c>
    </row>
    <row r="201">
      <c r="A201" s="75">
        <v>200.0</v>
      </c>
      <c r="B201" s="76" t="s">
        <v>514</v>
      </c>
      <c r="C201" s="75">
        <v>6.0</v>
      </c>
      <c r="D201" s="76" t="s">
        <v>43</v>
      </c>
      <c r="E201" s="14" t="s">
        <v>514</v>
      </c>
    </row>
  </sheetData>
  <conditionalFormatting sqref="D2:D201">
    <cfRule type="expression" dxfId="5" priority="1" stopIfTrue="1">
      <formula>$D2="Science"</formula>
    </cfRule>
  </conditionalFormatting>
  <conditionalFormatting sqref="D2:D201">
    <cfRule type="expression" dxfId="6" priority="2" stopIfTrue="1">
      <formula>$D2="Tech"</formula>
    </cfRule>
  </conditionalFormatting>
  <conditionalFormatting sqref="D2:D201">
    <cfRule type="expression" dxfId="7" priority="3" stopIfTrue="1">
      <formula>$D2="Cosmic"</formula>
    </cfRule>
  </conditionalFormatting>
  <conditionalFormatting sqref="D2:D201">
    <cfRule type="expression" dxfId="8" priority="4" stopIfTrue="1">
      <formula>$D2="Mystic"</formula>
    </cfRule>
  </conditionalFormatting>
  <conditionalFormatting sqref="D2:D201">
    <cfRule type="expression" dxfId="9" priority="5" stopIfTrue="1">
      <formula>$D2="Skill"</formula>
    </cfRule>
  </conditionalFormatting>
  <conditionalFormatting sqref="D2:D201">
    <cfRule type="expression" dxfId="10" priority="6" stopIfTrue="1">
      <formula>$D2="Mutant"</formula>
    </cfRule>
  </conditionalFormatting>
  <hyperlinks>
    <hyperlink r:id="rId1" ref="A1"/>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8.13"/>
    <col customWidth="1" min="2" max="2" width="74.38"/>
    <col customWidth="1" min="4" max="4" width="747.13"/>
  </cols>
  <sheetData>
    <row r="1">
      <c r="A1" s="82" t="s">
        <v>570</v>
      </c>
      <c r="B1" s="82" t="s">
        <v>571</v>
      </c>
      <c r="C1" s="82" t="s">
        <v>572</v>
      </c>
      <c r="D1" s="82" t="s">
        <v>573</v>
      </c>
    </row>
    <row r="2">
      <c r="A2" s="83" t="s">
        <v>574</v>
      </c>
      <c r="B2" s="83" t="s">
        <v>575</v>
      </c>
      <c r="C2" s="83">
        <v>10.0</v>
      </c>
      <c r="D2" s="83" t="s">
        <v>576</v>
      </c>
    </row>
    <row r="3">
      <c r="A3" s="83" t="s">
        <v>9</v>
      </c>
      <c r="B3" s="83" t="s">
        <v>577</v>
      </c>
      <c r="C3" s="83">
        <v>12.0</v>
      </c>
      <c r="D3" s="83" t="s">
        <v>578</v>
      </c>
    </row>
    <row r="4">
      <c r="A4" s="83" t="s">
        <v>10</v>
      </c>
      <c r="B4" s="83"/>
      <c r="C4" s="83">
        <v>6.0</v>
      </c>
      <c r="D4" s="83" t="s">
        <v>579</v>
      </c>
    </row>
    <row r="5">
      <c r="A5" s="83" t="s">
        <v>12</v>
      </c>
      <c r="B5" s="83"/>
      <c r="C5" s="83">
        <v>1.0</v>
      </c>
      <c r="D5" s="83" t="s">
        <v>301</v>
      </c>
    </row>
    <row r="6">
      <c r="A6" s="83" t="s">
        <v>15</v>
      </c>
      <c r="B6" s="83" t="s">
        <v>580</v>
      </c>
      <c r="C6" s="83">
        <v>58.0</v>
      </c>
      <c r="D6" s="83" t="s">
        <v>581</v>
      </c>
    </row>
    <row r="7">
      <c r="A7" s="83" t="s">
        <v>16</v>
      </c>
      <c r="B7" s="83" t="s">
        <v>582</v>
      </c>
      <c r="C7" s="83">
        <v>11.0</v>
      </c>
      <c r="D7" s="83" t="s">
        <v>583</v>
      </c>
    </row>
    <row r="8">
      <c r="A8" s="83" t="s">
        <v>17</v>
      </c>
      <c r="B8" s="83" t="s">
        <v>584</v>
      </c>
      <c r="C8" s="83">
        <v>19.0</v>
      </c>
      <c r="D8" s="83" t="s">
        <v>585</v>
      </c>
    </row>
    <row r="9">
      <c r="A9" s="83" t="s">
        <v>19</v>
      </c>
      <c r="B9" s="83"/>
      <c r="C9" s="83">
        <v>3.0</v>
      </c>
      <c r="D9" s="83" t="s">
        <v>586</v>
      </c>
    </row>
    <row r="10">
      <c r="A10" s="83" t="s">
        <v>21</v>
      </c>
      <c r="B10" s="83"/>
      <c r="C10" s="83">
        <v>1.0</v>
      </c>
      <c r="D10" s="83" t="s">
        <v>550</v>
      </c>
    </row>
    <row r="11">
      <c r="A11" s="83" t="s">
        <v>22</v>
      </c>
      <c r="B11" s="83" t="s">
        <v>587</v>
      </c>
      <c r="C11" s="83">
        <v>2.0</v>
      </c>
      <c r="D11" s="83" t="s">
        <v>588</v>
      </c>
    </row>
    <row r="12">
      <c r="A12" s="83" t="s">
        <v>23</v>
      </c>
      <c r="B12" s="83"/>
      <c r="C12" s="83">
        <v>1.0</v>
      </c>
      <c r="D12" s="83" t="s">
        <v>549</v>
      </c>
    </row>
    <row r="13">
      <c r="A13" s="83" t="s">
        <v>25</v>
      </c>
      <c r="B13" s="83"/>
      <c r="C13" s="83">
        <v>1.0</v>
      </c>
      <c r="D13" s="83" t="s">
        <v>420</v>
      </c>
    </row>
    <row r="14">
      <c r="A14" s="83" t="s">
        <v>27</v>
      </c>
      <c r="B14" s="83"/>
      <c r="C14" s="83">
        <v>1.0</v>
      </c>
      <c r="D14" s="83" t="s">
        <v>143</v>
      </c>
    </row>
    <row r="15">
      <c r="A15" s="83" t="s">
        <v>30</v>
      </c>
      <c r="B15" s="83"/>
      <c r="C15" s="83">
        <v>2.0</v>
      </c>
      <c r="D15" s="83" t="s">
        <v>589</v>
      </c>
    </row>
    <row r="16">
      <c r="A16" s="83" t="s">
        <v>31</v>
      </c>
      <c r="B16" s="83"/>
      <c r="C16" s="83">
        <v>12.0</v>
      </c>
      <c r="D16" s="83" t="s">
        <v>590</v>
      </c>
    </row>
    <row r="17">
      <c r="A17" s="83" t="s">
        <v>32</v>
      </c>
      <c r="B17" s="83"/>
      <c r="C17" s="83">
        <v>1.0</v>
      </c>
      <c r="D17" s="83" t="s">
        <v>73</v>
      </c>
    </row>
    <row r="18">
      <c r="A18" s="83" t="s">
        <v>33</v>
      </c>
      <c r="B18" s="83"/>
      <c r="C18" s="83">
        <v>17.0</v>
      </c>
      <c r="D18" s="83" t="s">
        <v>591</v>
      </c>
    </row>
    <row r="19">
      <c r="A19" s="83" t="s">
        <v>35</v>
      </c>
      <c r="B19" s="83"/>
      <c r="C19" s="83">
        <v>9.0</v>
      </c>
      <c r="D19" s="83" t="s">
        <v>592</v>
      </c>
    </row>
    <row r="20">
      <c r="A20" s="83" t="s">
        <v>36</v>
      </c>
      <c r="B20" s="83" t="s">
        <v>593</v>
      </c>
      <c r="C20" s="83">
        <v>38.0</v>
      </c>
      <c r="D20" s="83" t="s">
        <v>594</v>
      </c>
    </row>
    <row r="21">
      <c r="A21" s="83" t="s">
        <v>37</v>
      </c>
      <c r="B21" s="83" t="s">
        <v>595</v>
      </c>
      <c r="C21" s="83">
        <v>2.0</v>
      </c>
      <c r="D21" s="83" t="s">
        <v>596</v>
      </c>
    </row>
    <row r="22">
      <c r="A22" s="83" t="s">
        <v>38</v>
      </c>
      <c r="B22" s="83" t="s">
        <v>597</v>
      </c>
      <c r="C22" s="83">
        <v>2.0</v>
      </c>
      <c r="D22" s="83" t="s">
        <v>596</v>
      </c>
    </row>
    <row r="23">
      <c r="A23" s="83" t="s">
        <v>39</v>
      </c>
      <c r="B23" s="83"/>
      <c r="C23" s="83">
        <v>1.0</v>
      </c>
      <c r="D23" s="83" t="s">
        <v>551</v>
      </c>
    </row>
    <row r="24">
      <c r="A24" s="83" t="s">
        <v>40</v>
      </c>
      <c r="B24" s="83" t="s">
        <v>598</v>
      </c>
      <c r="C24" s="83">
        <v>4.0</v>
      </c>
      <c r="D24" s="83" t="s">
        <v>599</v>
      </c>
    </row>
    <row r="25">
      <c r="A25" s="83" t="s">
        <v>41</v>
      </c>
      <c r="B25" s="83"/>
      <c r="C25" s="83">
        <v>2.0</v>
      </c>
      <c r="D25" s="83" t="s">
        <v>600</v>
      </c>
    </row>
    <row r="26">
      <c r="A26" s="83" t="s">
        <v>42</v>
      </c>
      <c r="B26" s="83"/>
      <c r="C26" s="83">
        <v>17.0</v>
      </c>
      <c r="D26" s="83" t="s">
        <v>601</v>
      </c>
    </row>
    <row r="27">
      <c r="A27" s="83" t="s">
        <v>44</v>
      </c>
      <c r="B27" s="83"/>
      <c r="C27" s="83">
        <v>5.0</v>
      </c>
      <c r="D27" s="83" t="s">
        <v>602</v>
      </c>
    </row>
    <row r="28">
      <c r="A28" s="83" t="s">
        <v>46</v>
      </c>
      <c r="B28" s="83" t="s">
        <v>603</v>
      </c>
      <c r="C28" s="83">
        <v>67.0</v>
      </c>
      <c r="D28" s="83" t="s">
        <v>604</v>
      </c>
    </row>
    <row r="29">
      <c r="A29" s="83" t="s">
        <v>47</v>
      </c>
      <c r="B29" s="83"/>
      <c r="C29" s="83">
        <v>9.0</v>
      </c>
      <c r="D29" s="83" t="s">
        <v>605</v>
      </c>
    </row>
    <row r="30">
      <c r="A30" s="83" t="s">
        <v>49</v>
      </c>
      <c r="B30" s="83"/>
      <c r="C30" s="83">
        <v>11.0</v>
      </c>
      <c r="D30" s="83" t="s">
        <v>606</v>
      </c>
    </row>
    <row r="31">
      <c r="A31" s="83" t="s">
        <v>51</v>
      </c>
      <c r="B31" s="83" t="s">
        <v>607</v>
      </c>
      <c r="C31" s="83">
        <v>6.0</v>
      </c>
      <c r="D31" s="83" t="s">
        <v>608</v>
      </c>
    </row>
    <row r="32">
      <c r="A32" s="83" t="s">
        <v>53</v>
      </c>
      <c r="B32" s="83"/>
      <c r="C32" s="83">
        <v>7.0</v>
      </c>
      <c r="D32" s="83" t="s">
        <v>609</v>
      </c>
    </row>
    <row r="33">
      <c r="A33" s="83" t="s">
        <v>54</v>
      </c>
      <c r="B33" s="83"/>
      <c r="C33" s="83">
        <v>1.0</v>
      </c>
      <c r="D33" s="83" t="s">
        <v>526</v>
      </c>
    </row>
    <row r="34">
      <c r="A34" s="83" t="s">
        <v>56</v>
      </c>
      <c r="B34" s="83"/>
      <c r="C34" s="83">
        <v>1.0</v>
      </c>
      <c r="D34" s="83" t="s">
        <v>73</v>
      </c>
    </row>
    <row r="35">
      <c r="A35" s="83" t="s">
        <v>57</v>
      </c>
      <c r="B35" s="83" t="s">
        <v>610</v>
      </c>
      <c r="C35" s="83">
        <v>21.0</v>
      </c>
      <c r="D35" s="83" t="s">
        <v>611</v>
      </c>
    </row>
    <row r="36">
      <c r="A36" s="83" t="s">
        <v>58</v>
      </c>
      <c r="B36" s="83"/>
      <c r="C36" s="83">
        <v>8.0</v>
      </c>
      <c r="D36" s="83" t="s">
        <v>612</v>
      </c>
    </row>
    <row r="37">
      <c r="A37" s="83" t="s">
        <v>59</v>
      </c>
      <c r="B37" s="83" t="s">
        <v>613</v>
      </c>
      <c r="C37" s="83">
        <v>26.0</v>
      </c>
      <c r="D37" s="83" t="s">
        <v>614</v>
      </c>
    </row>
    <row r="38">
      <c r="A38" s="83" t="s">
        <v>60</v>
      </c>
      <c r="B38" s="83"/>
      <c r="C38" s="83">
        <v>2.0</v>
      </c>
      <c r="D38" s="83" t="s">
        <v>615</v>
      </c>
    </row>
    <row r="39">
      <c r="A39" s="83" t="s">
        <v>61</v>
      </c>
      <c r="B39" s="83"/>
      <c r="C39" s="83">
        <v>8.0</v>
      </c>
      <c r="D39" s="83" t="s">
        <v>616</v>
      </c>
    </row>
    <row r="40">
      <c r="A40" s="83" t="s">
        <v>62</v>
      </c>
      <c r="B40" s="83"/>
      <c r="C40" s="83">
        <v>1.0</v>
      </c>
      <c r="D40" s="83" t="s">
        <v>529</v>
      </c>
    </row>
    <row r="41">
      <c r="A41" s="83" t="s">
        <v>63</v>
      </c>
      <c r="B41" s="83"/>
      <c r="C41" s="83">
        <v>8.0</v>
      </c>
      <c r="D41" s="83" t="s">
        <v>617</v>
      </c>
    </row>
    <row r="42">
      <c r="A42" s="83" t="s">
        <v>64</v>
      </c>
      <c r="B42" s="83" t="s">
        <v>618</v>
      </c>
      <c r="C42" s="83">
        <v>13.0</v>
      </c>
      <c r="D42" s="83" t="s">
        <v>619</v>
      </c>
    </row>
    <row r="43">
      <c r="A43" s="83" t="s">
        <v>65</v>
      </c>
      <c r="B43" s="83" t="s">
        <v>620</v>
      </c>
      <c r="C43" s="83">
        <v>1.0</v>
      </c>
      <c r="D43" s="83" t="s">
        <v>271</v>
      </c>
    </row>
    <row r="44">
      <c r="A44" s="83" t="s">
        <v>67</v>
      </c>
      <c r="B44" s="83"/>
      <c r="C44" s="83">
        <v>2.0</v>
      </c>
      <c r="D44" s="83" t="s">
        <v>621</v>
      </c>
    </row>
  </sheetData>
  <drawing r:id="rId1"/>
</worksheet>
</file>